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I:\Firma Kroll GmbH\Mitarbeiter Stundennachweis 2016-2026\Mitarbeiter Stundennachweis 2026\"/>
    </mc:Choice>
  </mc:AlternateContent>
  <bookViews>
    <workbookView xWindow="0" yWindow="0" windowWidth="28800" windowHeight="11835" activeTab="3"/>
  </bookViews>
  <sheets>
    <sheet name="2026" sheetId="13" r:id="rId1"/>
    <sheet name="Januar 2026" sheetId="1" r:id="rId2"/>
    <sheet name="Februar 2026" sheetId="2" r:id="rId3"/>
    <sheet name="März 2026" sheetId="3" r:id="rId4"/>
    <sheet name="April 2026" sheetId="4" r:id="rId5"/>
    <sheet name="Mai 2026" sheetId="5" r:id="rId6"/>
    <sheet name="Juni 2026" sheetId="6" r:id="rId7"/>
    <sheet name="Juli 2026" sheetId="7" r:id="rId8"/>
    <sheet name="August 2026" sheetId="8" r:id="rId9"/>
    <sheet name="September 2026" sheetId="9" r:id="rId10"/>
    <sheet name="Oktober 2026" sheetId="10" r:id="rId11"/>
    <sheet name="November 2026" sheetId="11" r:id="rId12"/>
    <sheet name="Dezember 2026" sheetId="12" r:id="rId13"/>
    <sheet name="Feiertage" sheetId="14" r:id="rId14"/>
  </sheets>
  <definedNames>
    <definedName name="Resturlaub">'2026'!$B$7</definedName>
    <definedName name="Urlaub">'2026'!$B$4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2" l="1"/>
  <c r="I35" i="12"/>
  <c r="G35" i="12"/>
  <c r="F35" i="12"/>
  <c r="E35" i="12"/>
  <c r="D35" i="12"/>
  <c r="C35" i="12"/>
  <c r="H34" i="12"/>
  <c r="H33" i="12"/>
  <c r="K32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35" i="12" s="1"/>
  <c r="H4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C1" i="12"/>
  <c r="B1" i="12"/>
  <c r="J35" i="11"/>
  <c r="I35" i="11"/>
  <c r="G35" i="11"/>
  <c r="F35" i="11"/>
  <c r="E35" i="11"/>
  <c r="D35" i="11"/>
  <c r="C35" i="11"/>
  <c r="H34" i="11"/>
  <c r="H33" i="11"/>
  <c r="K32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35" i="11" s="1"/>
  <c r="H5" i="11"/>
  <c r="H4" i="1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C1" i="11"/>
  <c r="B1" i="11"/>
  <c r="J35" i="10"/>
  <c r="I35" i="10"/>
  <c r="G35" i="10"/>
  <c r="F35" i="10"/>
  <c r="E35" i="10"/>
  <c r="D35" i="10"/>
  <c r="C35" i="10"/>
  <c r="H34" i="10"/>
  <c r="H33" i="10"/>
  <c r="K32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5" i="10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C1" i="10"/>
  <c r="B1" i="10"/>
  <c r="J35" i="9"/>
  <c r="I35" i="9"/>
  <c r="G35" i="9"/>
  <c r="F35" i="9"/>
  <c r="E35" i="9"/>
  <c r="D35" i="9"/>
  <c r="C35" i="9"/>
  <c r="H34" i="9"/>
  <c r="H33" i="9"/>
  <c r="K32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H5" i="9"/>
  <c r="A5" i="9"/>
  <c r="H4" i="9"/>
  <c r="H35" i="9" s="1"/>
  <c r="A4" i="9"/>
  <c r="C1" i="9"/>
  <c r="B1" i="9"/>
  <c r="J35" i="8"/>
  <c r="I35" i="8"/>
  <c r="G35" i="8"/>
  <c r="F35" i="8"/>
  <c r="E35" i="8"/>
  <c r="D35" i="8"/>
  <c r="C35" i="8"/>
  <c r="H34" i="8"/>
  <c r="H33" i="8"/>
  <c r="K32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35" i="8" s="1"/>
  <c r="H4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C1" i="8"/>
  <c r="B1" i="8"/>
  <c r="J35" i="7"/>
  <c r="I35" i="7"/>
  <c r="G35" i="7"/>
  <c r="F35" i="7"/>
  <c r="E35" i="7"/>
  <c r="D35" i="7"/>
  <c r="C35" i="7"/>
  <c r="H34" i="7"/>
  <c r="H33" i="7"/>
  <c r="K32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35" i="7" s="1"/>
  <c r="H6" i="7"/>
  <c r="H5" i="7"/>
  <c r="H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C1" i="7"/>
  <c r="B1" i="7"/>
  <c r="J35" i="6"/>
  <c r="I35" i="6"/>
  <c r="G35" i="6"/>
  <c r="F35" i="6"/>
  <c r="E35" i="6"/>
  <c r="D35" i="6"/>
  <c r="C35" i="6"/>
  <c r="H34" i="6"/>
  <c r="H33" i="6"/>
  <c r="K3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5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C1" i="6"/>
  <c r="B1" i="6"/>
  <c r="J35" i="5"/>
  <c r="I35" i="5"/>
  <c r="G35" i="5"/>
  <c r="F35" i="5"/>
  <c r="E35" i="5"/>
  <c r="D35" i="5"/>
  <c r="C35" i="5"/>
  <c r="H34" i="5"/>
  <c r="H33" i="5"/>
  <c r="K32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5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C1" i="5"/>
  <c r="B1" i="5"/>
  <c r="J35" i="4"/>
  <c r="I35" i="4"/>
  <c r="G35" i="4"/>
  <c r="F35" i="4"/>
  <c r="E35" i="4"/>
  <c r="D35" i="4"/>
  <c r="C35" i="4"/>
  <c r="H34" i="4"/>
  <c r="K32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8" i="4"/>
  <c r="H7" i="4"/>
  <c r="H35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C1" i="4"/>
  <c r="B1" i="4"/>
  <c r="J35" i="3"/>
  <c r="I35" i="3"/>
  <c r="G35" i="3"/>
  <c r="F35" i="3"/>
  <c r="E35" i="3"/>
  <c r="D35" i="3"/>
  <c r="C35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C1" i="3"/>
  <c r="B1" i="3"/>
  <c r="J35" i="2"/>
  <c r="I35" i="2"/>
  <c r="G35" i="2"/>
  <c r="F35" i="2"/>
  <c r="E35" i="2"/>
  <c r="D35" i="2"/>
  <c r="C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C1" i="2"/>
  <c r="B1" i="2"/>
  <c r="B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C1" i="1"/>
  <c r="K32" i="2"/>
  <c r="H35" i="2" l="1"/>
  <c r="H35" i="3"/>
  <c r="G35" i="1"/>
  <c r="F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5" i="1" l="1"/>
  <c r="C35" i="1"/>
  <c r="D35" i="1"/>
  <c r="E37" i="1" l="1"/>
  <c r="L23" i="1" s="1"/>
  <c r="L25" i="1" s="1"/>
  <c r="E2" i="2" s="1"/>
  <c r="E37" i="2" s="1"/>
  <c r="L23" i="2" s="1"/>
  <c r="L25" i="2" s="1"/>
  <c r="L26" i="2" l="1"/>
  <c r="E2" i="3"/>
  <c r="E37" i="3" s="1"/>
  <c r="E35" i="1"/>
  <c r="I35" i="1" l="1"/>
  <c r="K32" i="3"/>
  <c r="K32" i="1"/>
  <c r="B6" i="13" l="1"/>
  <c r="B7" i="13" s="1"/>
  <c r="K35" i="12" s="1"/>
  <c r="J35" i="1"/>
  <c r="L26" i="1"/>
  <c r="K35" i="10" l="1"/>
  <c r="K35" i="11"/>
  <c r="K35" i="8"/>
  <c r="K35" i="9"/>
  <c r="K35" i="6"/>
  <c r="K35" i="7"/>
  <c r="K35" i="4"/>
  <c r="K35" i="5"/>
  <c r="K35" i="2"/>
  <c r="B8" i="13"/>
  <c r="L23" i="3" l="1"/>
  <c r="L25" i="3" s="1"/>
  <c r="L26" i="3" l="1"/>
  <c r="E2" i="4"/>
  <c r="E37" i="4" s="1"/>
  <c r="L23" i="4" s="1"/>
  <c r="L25" i="4" s="1"/>
  <c r="K35" i="3"/>
  <c r="K35" i="1"/>
  <c r="L26" i="4" l="1"/>
  <c r="E2" i="5"/>
  <c r="E37" i="5" s="1"/>
  <c r="L23" i="5" s="1"/>
  <c r="L25" i="5" s="1"/>
  <c r="L26" i="5" l="1"/>
  <c r="E2" i="6"/>
  <c r="E37" i="6" s="1"/>
  <c r="L23" i="6" s="1"/>
  <c r="L25" i="6" s="1"/>
  <c r="L26" i="6" l="1"/>
  <c r="E2" i="7"/>
  <c r="E37" i="7" s="1"/>
  <c r="L23" i="7" s="1"/>
  <c r="L25" i="7" s="1"/>
  <c r="L26" i="7" l="1"/>
  <c r="E2" i="8"/>
  <c r="E37" i="8" s="1"/>
  <c r="L23" i="8" s="1"/>
  <c r="L25" i="8" s="1"/>
  <c r="L26" i="8" l="1"/>
  <c r="E2" i="9"/>
  <c r="E37" i="9" s="1"/>
  <c r="L23" i="9" s="1"/>
  <c r="L25" i="9" s="1"/>
  <c r="L26" i="9" l="1"/>
  <c r="E2" i="10"/>
  <c r="E37" i="10" s="1"/>
  <c r="L23" i="10" s="1"/>
  <c r="L25" i="10" s="1"/>
  <c r="L26" i="10" l="1"/>
  <c r="E2" i="11"/>
  <c r="E37" i="11" s="1"/>
  <c r="L23" i="11" s="1"/>
  <c r="L25" i="11" s="1"/>
  <c r="L26" i="11" l="1"/>
  <c r="E2" i="12"/>
  <c r="E37" i="12" s="1"/>
  <c r="L23" i="12" s="1"/>
  <c r="L25" i="12" s="1"/>
  <c r="L26" i="12" s="1"/>
</calcChain>
</file>

<file path=xl/sharedStrings.xml><?xml version="1.0" encoding="utf-8"?>
<sst xmlns="http://schemas.openxmlformats.org/spreadsheetml/2006/main" count="297" uniqueCount="64">
  <si>
    <t xml:space="preserve">Arbeitsort </t>
  </si>
  <si>
    <t>Stunden</t>
  </si>
  <si>
    <t>Urlaub</t>
  </si>
  <si>
    <t>Krank</t>
  </si>
  <si>
    <t>Resturlaub</t>
  </si>
  <si>
    <t>Jahsresurlaub</t>
  </si>
  <si>
    <t>Name</t>
  </si>
  <si>
    <t>Krankheitstage</t>
  </si>
  <si>
    <t>Urlaub genommen</t>
  </si>
  <si>
    <t>Sollstunden</t>
  </si>
  <si>
    <t>Überstunden</t>
  </si>
  <si>
    <t>Stunden Ausbezahlt</t>
  </si>
  <si>
    <t>Restsaldo</t>
  </si>
  <si>
    <t>Übertrag von Vormonat</t>
  </si>
  <si>
    <t>Kontostand Stunden</t>
  </si>
  <si>
    <t>Werkstatt</t>
  </si>
  <si>
    <t>Stunden Summe</t>
  </si>
  <si>
    <t>Urlaub Vorjahr</t>
  </si>
  <si>
    <t>Datum</t>
  </si>
  <si>
    <t>Feiertag</t>
  </si>
  <si>
    <t>Neujahr</t>
  </si>
  <si>
    <t>Heilige Drei Könige</t>
  </si>
  <si>
    <t>Karfreitag</t>
  </si>
  <si>
    <t>Ostersonntag</t>
  </si>
  <si>
    <t>Ostermontag</t>
  </si>
  <si>
    <t>Tag der Arbeit</t>
  </si>
  <si>
    <t>Christi Himmelfahrt</t>
  </si>
  <si>
    <t>Pfingstmontag</t>
  </si>
  <si>
    <t>Fronleichnam</t>
  </si>
  <si>
    <t>Tag der Deutschen Einheit</t>
  </si>
  <si>
    <t>Allerheiligen</t>
  </si>
  <si>
    <t>1. Weihnachtsfeiertag</t>
  </si>
  <si>
    <t>2. Weihnachtsfeiertag</t>
  </si>
  <si>
    <t>Vadim Erke</t>
  </si>
  <si>
    <t>Gesetzliche Feiertage 2026</t>
  </si>
  <si>
    <t>Jahresliste 2026</t>
  </si>
  <si>
    <t>F/T</t>
  </si>
  <si>
    <t>Kopp</t>
  </si>
  <si>
    <t>SMF</t>
  </si>
  <si>
    <t>Taifun</t>
  </si>
  <si>
    <t>Taifun/Taifun/Black</t>
  </si>
  <si>
    <t>Monte</t>
  </si>
  <si>
    <t>Taifun/Agrano</t>
  </si>
  <si>
    <t>/Agrano</t>
  </si>
  <si>
    <t>Agrano</t>
  </si>
  <si>
    <t>FVAG/SMF</t>
  </si>
  <si>
    <t>Taifun/SMF</t>
  </si>
  <si>
    <t>SMF/Taifun/SMF</t>
  </si>
  <si>
    <t>Gall</t>
  </si>
  <si>
    <t>FVAG/Gall/Gall/Taifun</t>
  </si>
  <si>
    <t>Taifun/Gall</t>
  </si>
  <si>
    <t>/Agrano/Agrano</t>
  </si>
  <si>
    <t>Agrano/Agrano/Fraunfofer</t>
  </si>
  <si>
    <t>Fraunfofer/Agrano/Agrano</t>
  </si>
  <si>
    <t>SMF/Taifun</t>
  </si>
  <si>
    <t>SMF/Becherer</t>
  </si>
  <si>
    <t>SMF/Taifun/Agrano</t>
  </si>
  <si>
    <t>Taifun/Kopp/Aquakinetics/AS</t>
  </si>
  <si>
    <t>Milcona/Agrano/Agrano</t>
  </si>
  <si>
    <t>SMF/Agrano/Agrano</t>
  </si>
  <si>
    <t>SMF/Agrano/Taifun</t>
  </si>
  <si>
    <t>SMF/Taifun/Black</t>
  </si>
  <si>
    <t>RückW/SMF</t>
  </si>
  <si>
    <t>Rück/Agrano/SMF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</si>
</sst>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d"/>
    <numFmt numFmtId="166" formatCode="dddd"/>
    <numFmt numFmtId="167" formatCode="mmmm"/>
    <numFmt numFmtId="168" formatCode="d/\ ddd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/>
    <xf numFmtId="0" fontId="0" fillId="2" borderId="9" xfId="0" applyFill="1" applyBorder="1"/>
    <xf numFmtId="0" fontId="0" fillId="0" borderId="6" xfId="0" applyBorder="1"/>
    <xf numFmtId="0" fontId="0" fillId="2" borderId="2" xfId="0" applyFill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2" borderId="7" xfId="0" applyFill="1" applyBorder="1" applyAlignment="1">
      <alignment horizontal="right"/>
    </xf>
    <xf numFmtId="0" fontId="0" fillId="0" borderId="1" xfId="0" applyBorder="1"/>
    <xf numFmtId="0" fontId="1" fillId="0" borderId="6" xfId="0" applyFont="1" applyBorder="1"/>
    <xf numFmtId="0" fontId="1" fillId="0" borderId="12" xfId="0" applyFont="1" applyBorder="1"/>
    <xf numFmtId="0" fontId="1" fillId="0" borderId="0" xfId="0" applyFont="1" applyAlignment="1">
      <alignment horizontal="right"/>
    </xf>
    <xf numFmtId="0" fontId="0" fillId="2" borderId="0" xfId="0" applyFill="1"/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/>
    <xf numFmtId="0" fontId="0" fillId="0" borderId="17" xfId="0" applyBorder="1"/>
    <xf numFmtId="0" fontId="0" fillId="2" borderId="4" xfId="0" applyFill="1" applyBorder="1"/>
    <xf numFmtId="0" fontId="0" fillId="2" borderId="15" xfId="0" applyFill="1" applyBorder="1"/>
    <xf numFmtId="0" fontId="0" fillId="2" borderId="1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165" fontId="1" fillId="0" borderId="0" xfId="0" applyNumberFormat="1" applyFont="1"/>
    <xf numFmtId="165" fontId="1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7" fillId="0" borderId="0" xfId="0" applyFont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indent="1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indent="1"/>
    </xf>
    <xf numFmtId="167" fontId="6" fillId="3" borderId="0" xfId="0" applyNumberFormat="1" applyFont="1" applyFill="1" applyAlignment="1">
      <alignment horizontal="centerContinuous" vertical="center"/>
    </xf>
    <xf numFmtId="165" fontId="0" fillId="0" borderId="20" xfId="0" applyNumberFormat="1" applyBorder="1" applyAlignment="1">
      <alignment horizontal="left"/>
    </xf>
    <xf numFmtId="168" fontId="1" fillId="0" borderId="1" xfId="1" applyNumberFormat="1" applyFont="1" applyBorder="1" applyAlignment="1">
      <alignment horizontal="left"/>
    </xf>
    <xf numFmtId="0" fontId="8" fillId="3" borderId="1" xfId="0" applyFont="1" applyFill="1" applyBorder="1"/>
    <xf numFmtId="165" fontId="0" fillId="0" borderId="0" xfId="0" applyNumberFormat="1" applyBorder="1"/>
    <xf numFmtId="165" fontId="1" fillId="0" borderId="19" xfId="0" applyNumberFormat="1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65" fontId="1" fillId="0" borderId="0" xfId="0" applyNumberFormat="1" applyFont="1" applyBorder="1"/>
    <xf numFmtId="0" fontId="1" fillId="0" borderId="0" xfId="0" applyFont="1" applyBorder="1"/>
    <xf numFmtId="0" fontId="0" fillId="0" borderId="0" xfId="0" applyBorder="1"/>
    <xf numFmtId="14" fontId="0" fillId="0" borderId="0" xfId="0" applyNumberFormat="1" applyBorder="1"/>
    <xf numFmtId="166" fontId="0" fillId="0" borderId="0" xfId="0" applyNumberFormat="1" applyBorder="1"/>
    <xf numFmtId="0" fontId="0" fillId="2" borderId="21" xfId="0" applyFill="1" applyBorder="1" applyAlignment="1">
      <alignment horizontal="right"/>
    </xf>
    <xf numFmtId="0" fontId="0" fillId="0" borderId="23" xfId="0" applyBorder="1"/>
    <xf numFmtId="0" fontId="0" fillId="2" borderId="24" xfId="0" applyFill="1" applyBorder="1" applyAlignment="1">
      <alignment horizontal="right"/>
    </xf>
    <xf numFmtId="0" fontId="1" fillId="0" borderId="19" xfId="0" applyNumberFormat="1" applyFont="1" applyBorder="1" applyAlignment="1">
      <alignment horizontal="left"/>
    </xf>
    <xf numFmtId="0" fontId="9" fillId="0" borderId="1" xfId="0" applyFont="1" applyBorder="1"/>
  </cellXfs>
  <cellStyles count="2">
    <cellStyle name="Komma" xfId="1" builtinId="3"/>
    <cellStyle name="Standard" xfId="0" builtinId="0"/>
  </cellStyles>
  <dxfs count="36"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821127</xdr:colOff>
      <xdr:row>0</xdr:row>
      <xdr:rowOff>7435</xdr:rowOff>
    </xdr:from>
    <xdr:ext cx="3491726" cy="937629"/>
    <xdr:sp macro="" textlink="">
      <xdr:nvSpPr>
        <xdr:cNvPr id="2" name="Rechteck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2154627" y="7435"/>
          <a:ext cx="349172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de-DE" sz="54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</a:rPr>
            <a:t>Kroll GmbH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D9"/>
  <sheetViews>
    <sheetView zoomScale="73" workbookViewId="0">
      <selection activeCell="B12" sqref="B12"/>
    </sheetView>
  </sheetViews>
  <sheetFormatPr baseColWidth="10" defaultRowHeight="15" x14ac:dyDescent="0.25"/>
  <cols>
    <col min="1" max="1" width="20" customWidth="1"/>
    <col min="2" max="2" width="21.28515625" customWidth="1"/>
  </cols>
  <sheetData>
    <row r="1" spans="1:4" ht="100.5" customHeight="1" thickBot="1" x14ac:dyDescent="0.3">
      <c r="A1" s="6"/>
    </row>
    <row r="2" spans="1:4" ht="15.75" thickBot="1" x14ac:dyDescent="0.3">
      <c r="A2" s="7" t="s">
        <v>35</v>
      </c>
      <c r="B2" s="8"/>
      <c r="C2" s="9"/>
      <c r="D2" s="9"/>
    </row>
    <row r="3" spans="1:4" ht="15.75" thickBot="1" x14ac:dyDescent="0.3">
      <c r="A3" s="10" t="s">
        <v>6</v>
      </c>
      <c r="B3" s="8" t="s">
        <v>33</v>
      </c>
      <c r="C3" s="9"/>
      <c r="D3" s="9"/>
    </row>
    <row r="4" spans="1:4" ht="15.75" thickBot="1" x14ac:dyDescent="0.3">
      <c r="A4" s="10" t="s">
        <v>2</v>
      </c>
      <c r="B4" s="8">
        <v>30</v>
      </c>
      <c r="C4" s="9"/>
      <c r="D4" s="9"/>
    </row>
    <row r="5" spans="1:4" ht="15.75" thickBot="1" x14ac:dyDescent="0.3">
      <c r="A5" s="10" t="s">
        <v>17</v>
      </c>
      <c r="B5" s="11"/>
      <c r="C5" s="9"/>
      <c r="D5" s="9"/>
    </row>
    <row r="6" spans="1:4" ht="15.75" thickBot="1" x14ac:dyDescent="0.3">
      <c r="A6" s="10" t="s">
        <v>8</v>
      </c>
      <c r="B6" s="35">
        <f>SUM('Januar 2026'!I35,'Februar 2026'!I35,'März 2026'!I35,'April 2026'!I35,'Mai 2026'!I35,'Juni 2026'!I35,'Juli 2026'!I35,'August 2026'!I35,'September 2026'!I35,'Oktober 2026'!I35,'November 2026'!I35,'Dezember 2026'!I35)</f>
        <v>8</v>
      </c>
      <c r="C6" s="8"/>
      <c r="D6" s="9"/>
    </row>
    <row r="7" spans="1:4" ht="15.75" thickBot="1" x14ac:dyDescent="0.3">
      <c r="A7" s="10" t="s">
        <v>4</v>
      </c>
      <c r="B7" s="34">
        <f>Urlaub+B5-B6</f>
        <v>22</v>
      </c>
      <c r="C7" s="9"/>
      <c r="D7" s="9"/>
    </row>
    <row r="8" spans="1:4" ht="15.75" thickBot="1" x14ac:dyDescent="0.3">
      <c r="A8" s="10" t="s">
        <v>7</v>
      </c>
      <c r="B8" s="11">
        <f>SUM('Januar 2026'!J35,'Februar 2026'!J35,'März 2026'!J35,'April 2026'!J35,'Mai 2026'!J35,'Juni 2026'!J35,'Juli 2026'!J35,'August 2026'!J35,'September 2026'!J35,'Oktober 2026'!J35,'November 2026'!J35,'Dezember 2026'!J35)</f>
        <v>0</v>
      </c>
      <c r="C8" s="9"/>
      <c r="D8" s="9"/>
    </row>
    <row r="9" spans="1:4" ht="15.75" thickBot="1" x14ac:dyDescent="0.3">
      <c r="A9" s="10" t="s">
        <v>14</v>
      </c>
      <c r="B9" s="8"/>
      <c r="C9" s="9"/>
      <c r="D9" s="9"/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Q40"/>
  <sheetViews>
    <sheetView zoomScale="89" zoomScaleNormal="75" zoomScalePageLayoutView="50" workbookViewId="0">
      <selection activeCell="C13" sqref="C1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8" customWidth="1"/>
    <col min="13" max="13" width="10.85546875" style="41"/>
  </cols>
  <sheetData>
    <row r="1" spans="1:17" ht="21" x14ac:dyDescent="0.35">
      <c r="A1" s="65">
        <v>1</v>
      </c>
      <c r="B1" s="48">
        <f>DATE(D1,A1,1)</f>
        <v>46023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L1" s="1"/>
      <c r="M1" s="1"/>
      <c r="N1" s="1"/>
    </row>
    <row r="2" spans="1:17" ht="14.1" customHeight="1" thickBot="1" x14ac:dyDescent="0.3">
      <c r="B2" s="2" t="s">
        <v>13</v>
      </c>
      <c r="C2" s="2"/>
      <c r="D2" s="2"/>
      <c r="E2" s="2"/>
      <c r="F2" s="1"/>
      <c r="G2" s="1"/>
      <c r="H2" s="26"/>
      <c r="I2" s="1"/>
      <c r="J2" s="1"/>
      <c r="L2" s="1"/>
      <c r="M2" s="38"/>
    </row>
    <row r="3" spans="1:17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L3" s="1"/>
      <c r="M3" s="38"/>
    </row>
    <row r="4" spans="1:17" ht="14.1" customHeight="1" x14ac:dyDescent="0.25">
      <c r="A4" s="50">
        <f>DATE($D$1,$A$1,1)</f>
        <v>46023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L4" s="36"/>
      <c r="M4" s="52"/>
      <c r="N4" s="37"/>
      <c r="P4" s="37"/>
      <c r="Q4" s="37"/>
    </row>
    <row r="5" spans="1:17" ht="14.1" customHeight="1" x14ac:dyDescent="0.25">
      <c r="A5" s="50">
        <f>A4+1</f>
        <v>46024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36"/>
      <c r="L5" s="36"/>
      <c r="M5" s="38"/>
      <c r="N5" s="37"/>
      <c r="O5" s="37"/>
      <c r="P5" s="37"/>
      <c r="Q5" s="37"/>
    </row>
    <row r="6" spans="1:17" ht="14.1" customHeight="1" x14ac:dyDescent="0.25">
      <c r="A6" s="50">
        <f t="shared" ref="A6:A34" si="1">A5+1</f>
        <v>46025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36"/>
      <c r="L6" s="36"/>
      <c r="M6" s="38"/>
      <c r="N6" s="37"/>
      <c r="O6" s="37"/>
      <c r="P6" s="37"/>
      <c r="Q6" s="37"/>
    </row>
    <row r="7" spans="1:17" ht="14.1" customHeight="1" x14ac:dyDescent="0.25">
      <c r="A7" s="50">
        <f t="shared" si="1"/>
        <v>46026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36"/>
      <c r="L7" s="36"/>
      <c r="M7" s="38"/>
      <c r="N7" s="37"/>
      <c r="O7" s="37"/>
      <c r="P7" s="37"/>
      <c r="Q7" s="37"/>
    </row>
    <row r="8" spans="1:17" ht="14.1" customHeight="1" x14ac:dyDescent="0.25">
      <c r="A8" s="50">
        <f t="shared" si="1"/>
        <v>46027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36"/>
      <c r="L8" s="36"/>
      <c r="M8" s="38"/>
      <c r="N8" s="37"/>
      <c r="O8" s="37"/>
      <c r="P8" s="37"/>
      <c r="Q8" s="37"/>
    </row>
    <row r="9" spans="1:17" ht="14.1" customHeight="1" x14ac:dyDescent="0.25">
      <c r="A9" s="50">
        <f t="shared" si="1"/>
        <v>46028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36"/>
      <c r="L9" s="36"/>
      <c r="M9" s="38"/>
      <c r="N9" s="37"/>
      <c r="O9" s="37"/>
      <c r="P9" s="37"/>
      <c r="Q9" s="37"/>
    </row>
    <row r="10" spans="1:17" ht="14.1" customHeight="1" x14ac:dyDescent="0.25">
      <c r="A10" s="50">
        <f t="shared" si="1"/>
        <v>46029</v>
      </c>
      <c r="B10" s="2" t="s">
        <v>43</v>
      </c>
      <c r="C10" s="2"/>
      <c r="D10" s="2">
        <v>1.25</v>
      </c>
      <c r="E10" s="2"/>
      <c r="F10" s="2"/>
      <c r="G10" s="2"/>
      <c r="H10" s="30">
        <f t="shared" si="0"/>
        <v>1.25</v>
      </c>
      <c r="I10" s="2"/>
      <c r="J10" s="2"/>
      <c r="K10" s="1"/>
      <c r="L10" s="1"/>
      <c r="M10" s="38"/>
      <c r="N10" s="37"/>
      <c r="O10" s="37"/>
    </row>
    <row r="11" spans="1:17" ht="14.1" customHeight="1" x14ac:dyDescent="0.25">
      <c r="A11" s="50">
        <f t="shared" si="1"/>
        <v>46030</v>
      </c>
      <c r="B11" s="2" t="s">
        <v>37</v>
      </c>
      <c r="C11" s="2">
        <v>6</v>
      </c>
      <c r="D11" s="2"/>
      <c r="E11" s="2"/>
      <c r="F11" s="2"/>
      <c r="G11" s="2"/>
      <c r="H11" s="30">
        <f t="shared" si="0"/>
        <v>6</v>
      </c>
      <c r="I11" s="2"/>
      <c r="J11" s="2"/>
      <c r="K11" s="1"/>
      <c r="L11" s="1"/>
      <c r="M11" s="38"/>
      <c r="N11" s="37"/>
      <c r="O11" s="37"/>
    </row>
    <row r="12" spans="1:17" ht="14.1" customHeight="1" x14ac:dyDescent="0.25">
      <c r="A12" s="50">
        <f t="shared" si="1"/>
        <v>46031</v>
      </c>
      <c r="B12" s="2" t="s">
        <v>39</v>
      </c>
      <c r="C12" s="2">
        <v>8</v>
      </c>
      <c r="D12" s="2"/>
      <c r="E12" s="2"/>
      <c r="F12" s="2"/>
      <c r="G12" s="2"/>
      <c r="H12" s="30">
        <f t="shared" si="0"/>
        <v>8</v>
      </c>
      <c r="I12" s="2"/>
      <c r="J12" s="2"/>
      <c r="K12" s="1"/>
      <c r="L12" s="1"/>
      <c r="M12" s="38"/>
      <c r="N12" s="37"/>
      <c r="O12" s="37"/>
    </row>
    <row r="13" spans="1:17" ht="14.1" customHeight="1" x14ac:dyDescent="0.25">
      <c r="A13" s="50">
        <f t="shared" si="1"/>
        <v>46032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L13" s="1"/>
      <c r="M13" s="38"/>
      <c r="N13" s="37"/>
      <c r="O13" s="37"/>
    </row>
    <row r="14" spans="1:17" ht="14.1" customHeight="1" x14ac:dyDescent="0.25">
      <c r="A14" s="50">
        <f t="shared" si="1"/>
        <v>46033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L14" s="1"/>
      <c r="M14" s="38"/>
      <c r="N14" s="37"/>
      <c r="O14" s="37"/>
    </row>
    <row r="15" spans="1:17" ht="14.1" customHeight="1" x14ac:dyDescent="0.25">
      <c r="A15" s="50">
        <f t="shared" si="1"/>
        <v>46034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L15" s="1"/>
      <c r="M15" s="38"/>
      <c r="N15" s="37"/>
      <c r="O15" s="37"/>
    </row>
    <row r="16" spans="1:17" ht="14.1" customHeight="1" x14ac:dyDescent="0.25">
      <c r="A16" s="50">
        <f t="shared" si="1"/>
        <v>46035</v>
      </c>
      <c r="B16" s="2" t="s">
        <v>44</v>
      </c>
      <c r="C16" s="2">
        <v>8.5</v>
      </c>
      <c r="D16" s="2"/>
      <c r="E16" s="2"/>
      <c r="F16" s="2"/>
      <c r="G16" s="2"/>
      <c r="H16" s="30">
        <f t="shared" si="0"/>
        <v>8.5</v>
      </c>
      <c r="I16" s="2"/>
      <c r="J16" s="2"/>
      <c r="K16" s="1"/>
      <c r="L16" s="1"/>
      <c r="M16" s="38"/>
      <c r="N16" s="37"/>
      <c r="O16" s="37"/>
    </row>
    <row r="17" spans="1:15" ht="14.1" customHeight="1" x14ac:dyDescent="0.25">
      <c r="A17" s="50">
        <f t="shared" si="1"/>
        <v>46036</v>
      </c>
      <c r="B17" s="2" t="s">
        <v>42</v>
      </c>
      <c r="C17" s="2">
        <v>2</v>
      </c>
      <c r="D17" s="2">
        <v>6</v>
      </c>
      <c r="E17" s="2"/>
      <c r="F17" s="2"/>
      <c r="G17" s="2"/>
      <c r="H17" s="30">
        <f t="shared" si="0"/>
        <v>8</v>
      </c>
      <c r="I17" s="2"/>
      <c r="J17" s="2"/>
      <c r="K17" s="1"/>
      <c r="L17" s="1"/>
      <c r="M17" s="38"/>
      <c r="N17" s="37"/>
      <c r="O17" s="37"/>
    </row>
    <row r="18" spans="1:15" ht="14.1" customHeight="1" x14ac:dyDescent="0.25">
      <c r="A18" s="50">
        <f t="shared" si="1"/>
        <v>46037</v>
      </c>
      <c r="B18" s="2" t="s">
        <v>39</v>
      </c>
      <c r="C18" s="2">
        <v>6</v>
      </c>
      <c r="D18" s="2"/>
      <c r="E18" s="2"/>
      <c r="F18" s="2"/>
      <c r="G18" s="2"/>
      <c r="H18" s="30">
        <f t="shared" si="0"/>
        <v>6</v>
      </c>
      <c r="I18" s="2"/>
      <c r="J18" s="2"/>
      <c r="K18" s="1"/>
      <c r="L18" s="1"/>
      <c r="M18" s="38"/>
      <c r="N18" s="37"/>
      <c r="O18" s="37"/>
    </row>
    <row r="19" spans="1:15" ht="14.1" customHeight="1" x14ac:dyDescent="0.25">
      <c r="A19" s="50">
        <f t="shared" si="1"/>
        <v>46038</v>
      </c>
      <c r="B19" s="2" t="s">
        <v>39</v>
      </c>
      <c r="C19" s="2">
        <v>5</v>
      </c>
      <c r="D19" s="2"/>
      <c r="E19" s="2"/>
      <c r="F19" s="2"/>
      <c r="G19" s="2"/>
      <c r="H19" s="30">
        <f t="shared" si="0"/>
        <v>5</v>
      </c>
      <c r="I19" s="2"/>
      <c r="J19" s="2"/>
      <c r="K19" s="1"/>
      <c r="L19" s="1"/>
      <c r="M19" s="38"/>
      <c r="N19" s="37"/>
      <c r="O19" s="37"/>
    </row>
    <row r="20" spans="1:15" ht="14.1" customHeight="1" x14ac:dyDescent="0.25">
      <c r="A20" s="50">
        <f t="shared" si="1"/>
        <v>46039</v>
      </c>
      <c r="B20" s="2" t="s">
        <v>46</v>
      </c>
      <c r="C20" s="2">
        <v>5</v>
      </c>
      <c r="D20" s="2">
        <v>7</v>
      </c>
      <c r="E20" s="2"/>
      <c r="F20" s="2"/>
      <c r="G20" s="2"/>
      <c r="H20" s="30">
        <f t="shared" si="0"/>
        <v>12</v>
      </c>
      <c r="I20" s="2"/>
      <c r="J20" s="2"/>
      <c r="K20" s="1"/>
      <c r="L20" s="1"/>
      <c r="M20" s="38"/>
      <c r="N20" s="37"/>
      <c r="O20" s="37"/>
    </row>
    <row r="21" spans="1:15" ht="14.1" customHeight="1" x14ac:dyDescent="0.25">
      <c r="A21" s="50">
        <f t="shared" si="1"/>
        <v>46040</v>
      </c>
      <c r="B21" s="2" t="s">
        <v>38</v>
      </c>
      <c r="C21" s="2"/>
      <c r="D21" s="2">
        <v>9</v>
      </c>
      <c r="E21" s="2"/>
      <c r="F21" s="2"/>
      <c r="G21" s="2"/>
      <c r="H21" s="30">
        <f t="shared" si="0"/>
        <v>9</v>
      </c>
      <c r="I21" s="2"/>
      <c r="J21" s="2"/>
      <c r="K21" s="1"/>
      <c r="L21" s="1"/>
      <c r="M21" s="38"/>
      <c r="N21" s="37"/>
      <c r="O21" s="42"/>
    </row>
    <row r="22" spans="1:15" ht="14.1" customHeight="1" thickBot="1" x14ac:dyDescent="0.3">
      <c r="A22" s="50">
        <f t="shared" si="1"/>
        <v>46041</v>
      </c>
      <c r="B22" s="2" t="s">
        <v>39</v>
      </c>
      <c r="C22" s="2">
        <v>4.5</v>
      </c>
      <c r="D22" s="2"/>
      <c r="E22" s="2"/>
      <c r="F22" s="2"/>
      <c r="G22" s="2"/>
      <c r="H22" s="30">
        <f t="shared" si="0"/>
        <v>4.5</v>
      </c>
      <c r="I22" s="2"/>
      <c r="J22" s="2"/>
      <c r="K22" s="17" t="s">
        <v>9</v>
      </c>
      <c r="L22" s="21"/>
      <c r="M22" s="38"/>
      <c r="N22" s="37"/>
      <c r="O22" s="42"/>
    </row>
    <row r="23" spans="1:15" ht="14.1" customHeight="1" thickBot="1" x14ac:dyDescent="0.3">
      <c r="A23" s="50">
        <f t="shared" si="1"/>
        <v>46042</v>
      </c>
      <c r="B23" s="2" t="s">
        <v>41</v>
      </c>
      <c r="C23" s="2">
        <v>2.5</v>
      </c>
      <c r="D23" s="2"/>
      <c r="E23" s="2"/>
      <c r="F23" s="2"/>
      <c r="G23" s="2"/>
      <c r="H23" s="30">
        <f t="shared" si="0"/>
        <v>2.5</v>
      </c>
      <c r="I23" s="2"/>
      <c r="J23" s="2"/>
      <c r="K23" s="17" t="s">
        <v>10</v>
      </c>
      <c r="L23" s="18" t="str">
        <f>IMSUB(E37,L22)</f>
        <v>155,25</v>
      </c>
      <c r="M23" s="38"/>
      <c r="N23" s="37"/>
      <c r="O23" s="42"/>
    </row>
    <row r="24" spans="1:15" ht="14.1" customHeight="1" thickBot="1" x14ac:dyDescent="0.3">
      <c r="A24" s="50">
        <f t="shared" si="1"/>
        <v>46043</v>
      </c>
      <c r="B24" s="2" t="s">
        <v>39</v>
      </c>
      <c r="C24" s="2"/>
      <c r="D24" s="2">
        <v>6</v>
      </c>
      <c r="E24" s="2"/>
      <c r="F24" s="2"/>
      <c r="G24" s="2"/>
      <c r="H24" s="30">
        <f t="shared" si="0"/>
        <v>6</v>
      </c>
      <c r="I24" s="2"/>
      <c r="J24" s="2"/>
      <c r="K24" s="17" t="s">
        <v>11</v>
      </c>
      <c r="L24" s="19"/>
      <c r="M24" s="38"/>
      <c r="N24" s="37"/>
      <c r="O24" s="42"/>
    </row>
    <row r="25" spans="1:15" ht="14.1" customHeight="1" x14ac:dyDescent="0.25">
      <c r="A25" s="50">
        <f t="shared" si="1"/>
        <v>46044</v>
      </c>
      <c r="B25" s="2" t="s">
        <v>40</v>
      </c>
      <c r="C25" s="2">
        <v>1</v>
      </c>
      <c r="D25" s="2">
        <v>3.75</v>
      </c>
      <c r="E25" s="2">
        <v>2</v>
      </c>
      <c r="F25" s="2"/>
      <c r="G25" s="2"/>
      <c r="H25" s="30">
        <f t="shared" si="0"/>
        <v>6.75</v>
      </c>
      <c r="I25" s="2"/>
      <c r="J25" s="2"/>
      <c r="K25" s="20" t="s">
        <v>12</v>
      </c>
      <c r="L25" s="22" t="str">
        <f>IMSUB(L23,L24)</f>
        <v>155,25</v>
      </c>
      <c r="M25" s="38"/>
      <c r="N25" s="37"/>
      <c r="O25" s="42"/>
    </row>
    <row r="26" spans="1:15" ht="14.1" customHeight="1" x14ac:dyDescent="0.25">
      <c r="A26" s="50">
        <f t="shared" si="1"/>
        <v>46045</v>
      </c>
      <c r="B26" s="2" t="s">
        <v>47</v>
      </c>
      <c r="C26" s="2">
        <v>7</v>
      </c>
      <c r="D26" s="2">
        <v>1</v>
      </c>
      <c r="E26" s="2">
        <v>2</v>
      </c>
      <c r="F26" s="2"/>
      <c r="G26" s="2"/>
      <c r="H26" s="30">
        <f t="shared" si="0"/>
        <v>10</v>
      </c>
      <c r="I26" s="2"/>
      <c r="J26" s="2"/>
      <c r="K26" s="23" t="s">
        <v>14</v>
      </c>
      <c r="L26" s="2">
        <f>L25+'2026'!B9</f>
        <v>155.25</v>
      </c>
      <c r="M26" s="38"/>
      <c r="N26" s="37"/>
      <c r="O26" s="42"/>
    </row>
    <row r="27" spans="1:15" ht="14.1" customHeight="1" x14ac:dyDescent="0.25">
      <c r="A27" s="50">
        <f t="shared" si="1"/>
        <v>46046</v>
      </c>
      <c r="B27" s="2" t="s">
        <v>38</v>
      </c>
      <c r="C27" s="2">
        <v>10</v>
      </c>
      <c r="D27" s="2"/>
      <c r="E27" s="2"/>
      <c r="F27" s="2"/>
      <c r="G27" s="2"/>
      <c r="H27" s="30">
        <f t="shared" si="0"/>
        <v>10</v>
      </c>
      <c r="I27" s="2"/>
      <c r="J27" s="2"/>
      <c r="K27" s="1"/>
      <c r="L27" s="1"/>
      <c r="M27" s="38"/>
      <c r="N27" s="37"/>
      <c r="O27" s="42"/>
    </row>
    <row r="28" spans="1:15" ht="14.1" customHeight="1" x14ac:dyDescent="0.25">
      <c r="A28" s="50">
        <f t="shared" si="1"/>
        <v>46047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L28" s="1"/>
      <c r="M28" s="38"/>
      <c r="N28" s="37"/>
      <c r="O28" s="42"/>
    </row>
    <row r="29" spans="1:15" ht="14.1" customHeight="1" x14ac:dyDescent="0.25">
      <c r="A29" s="50">
        <f t="shared" si="1"/>
        <v>46048</v>
      </c>
      <c r="B29" s="2" t="s">
        <v>45</v>
      </c>
      <c r="C29" s="2">
        <v>5</v>
      </c>
      <c r="D29" s="2">
        <v>8</v>
      </c>
      <c r="E29" s="2"/>
      <c r="F29" s="2"/>
      <c r="G29" s="2"/>
      <c r="H29" s="30">
        <f t="shared" si="0"/>
        <v>13</v>
      </c>
      <c r="I29" s="2"/>
      <c r="J29" s="2"/>
      <c r="K29" s="1"/>
      <c r="L29" s="1"/>
      <c r="M29" s="38"/>
      <c r="N29" s="37"/>
      <c r="O29" s="42"/>
    </row>
    <row r="30" spans="1:15" ht="14.1" customHeight="1" x14ac:dyDescent="0.25">
      <c r="A30" s="50">
        <f t="shared" si="1"/>
        <v>46049</v>
      </c>
      <c r="B30" s="2" t="s">
        <v>49</v>
      </c>
      <c r="C30" s="2">
        <v>6</v>
      </c>
      <c r="D30" s="2">
        <v>1</v>
      </c>
      <c r="E30" s="2">
        <v>0.5</v>
      </c>
      <c r="F30" s="2">
        <v>0.5</v>
      </c>
      <c r="G30" s="2"/>
      <c r="H30" s="30">
        <f t="shared" si="0"/>
        <v>8</v>
      </c>
      <c r="I30" s="2"/>
      <c r="J30" s="2"/>
      <c r="K30" s="1"/>
      <c r="L30" s="1"/>
      <c r="M30" s="38"/>
      <c r="N30" s="37"/>
      <c r="O30" s="42"/>
    </row>
    <row r="31" spans="1:15" ht="14.1" customHeight="1" thickBot="1" x14ac:dyDescent="0.3">
      <c r="A31" s="50">
        <f t="shared" si="1"/>
        <v>46050</v>
      </c>
      <c r="B31" s="2" t="s">
        <v>39</v>
      </c>
      <c r="C31" s="2"/>
      <c r="D31" s="2"/>
      <c r="E31" s="2"/>
      <c r="F31" s="2">
        <v>8</v>
      </c>
      <c r="G31" s="2"/>
      <c r="H31" s="30">
        <f t="shared" si="0"/>
        <v>8</v>
      </c>
      <c r="I31" s="2"/>
      <c r="J31" s="2"/>
      <c r="K31" s="12" t="s">
        <v>5</v>
      </c>
      <c r="L31" s="1"/>
      <c r="M31" s="38"/>
      <c r="N31" s="37"/>
      <c r="O31" s="42"/>
    </row>
    <row r="32" spans="1:15" ht="14.1" customHeight="1" thickBot="1" x14ac:dyDescent="0.3">
      <c r="A32" s="50">
        <f t="shared" si="1"/>
        <v>46051</v>
      </c>
      <c r="B32" s="2" t="s">
        <v>39</v>
      </c>
      <c r="C32" s="2"/>
      <c r="D32" s="2"/>
      <c r="E32" s="2"/>
      <c r="F32" s="2">
        <v>8</v>
      </c>
      <c r="G32" s="2"/>
      <c r="H32" s="30">
        <f t="shared" si="0"/>
        <v>8</v>
      </c>
      <c r="I32" s="2"/>
      <c r="J32" s="2"/>
      <c r="K32" s="13">
        <f>Urlaub</f>
        <v>30</v>
      </c>
      <c r="L32" s="1"/>
      <c r="M32" s="38"/>
      <c r="N32" s="37"/>
      <c r="O32" s="42"/>
    </row>
    <row r="33" spans="1:15" ht="14.1" customHeight="1" x14ac:dyDescent="0.25">
      <c r="A33" s="50">
        <f t="shared" si="1"/>
        <v>46052</v>
      </c>
      <c r="B33" s="2" t="s">
        <v>39</v>
      </c>
      <c r="C33" s="2"/>
      <c r="D33" s="2"/>
      <c r="E33" s="2"/>
      <c r="F33" s="2">
        <v>8</v>
      </c>
      <c r="G33" s="2"/>
      <c r="H33" s="30">
        <f t="shared" si="0"/>
        <v>8</v>
      </c>
      <c r="I33" s="2"/>
      <c r="J33" s="2"/>
      <c r="K33" s="14"/>
      <c r="L33" s="1"/>
      <c r="M33" s="38"/>
      <c r="N33" s="37"/>
      <c r="O33" s="42"/>
    </row>
    <row r="34" spans="1:15" ht="14.1" customHeight="1" thickBot="1" x14ac:dyDescent="0.3">
      <c r="A34" s="50">
        <f t="shared" si="1"/>
        <v>46053</v>
      </c>
      <c r="B34" s="24" t="s">
        <v>48</v>
      </c>
      <c r="C34" s="2">
        <v>6.75</v>
      </c>
      <c r="D34" s="2"/>
      <c r="E34" s="25"/>
      <c r="F34" s="25"/>
      <c r="G34" s="25"/>
      <c r="H34" s="30">
        <f t="shared" si="0"/>
        <v>6.75</v>
      </c>
      <c r="I34" s="5"/>
      <c r="J34" s="5"/>
      <c r="K34" s="12" t="s">
        <v>4</v>
      </c>
      <c r="L34" s="1"/>
      <c r="M34" s="38"/>
      <c r="N34" s="37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83.25</v>
      </c>
      <c r="D35" s="32">
        <f>D4+D5+D6+D7+D8+D9+D10+D11+D12+D13+D14+D15+D16+D17+D18+D19+D20+D21+D22+D23+D24+D25+D26+D27+D28+D29+D30+D31+D32+D33+D34</f>
        <v>43</v>
      </c>
      <c r="E35" s="32">
        <f>E4+E5+E6+E7+E8+E9+E10+E11+E12+E13+E14+E15+E16+E17+E18+E19+E20+E21+E22+E23+E24+E25+E26+E27+E28+E29+E30+E31+E32+E33+E34</f>
        <v>4.5</v>
      </c>
      <c r="F35" s="32">
        <f>SUM(F4:F34)</f>
        <v>24.5</v>
      </c>
      <c r="G35" s="32">
        <f>SUM(G4:G34)</f>
        <v>0</v>
      </c>
      <c r="H35" s="33">
        <f>SUM(H4:H34)</f>
        <v>155.25</v>
      </c>
      <c r="I35" s="16">
        <f>SUM(I4:I34)</f>
        <v>0</v>
      </c>
      <c r="J35" s="15">
        <f>SUM(J4:J34)</f>
        <v>0</v>
      </c>
      <c r="K35" s="13">
        <f>Resturlaub</f>
        <v>22</v>
      </c>
      <c r="N35" s="37"/>
      <c r="O35" s="42"/>
    </row>
    <row r="36" spans="1:15" ht="14.1" customHeight="1" thickBot="1" x14ac:dyDescent="0.3">
      <c r="N36" s="37"/>
      <c r="O36" s="42"/>
    </row>
    <row r="37" spans="1:15" ht="15.75" thickBot="1" x14ac:dyDescent="0.3">
      <c r="E37" s="15">
        <f>E2+H35</f>
        <v>155.25</v>
      </c>
      <c r="F37" s="27"/>
      <c r="G37" s="27"/>
      <c r="H37" s="27"/>
      <c r="N37" s="37"/>
      <c r="O37" s="42"/>
    </row>
    <row r="38" spans="1:15" x14ac:dyDescent="0.25">
      <c r="N38" s="37"/>
      <c r="O38" s="42"/>
    </row>
    <row r="39" spans="1:15" x14ac:dyDescent="0.25">
      <c r="N39" s="37"/>
      <c r="O39" s="42"/>
    </row>
    <row r="40" spans="1:15" x14ac:dyDescent="0.25">
      <c r="N40" s="37"/>
      <c r="O40" s="42"/>
    </row>
  </sheetData>
  <phoneticPr fontId="3" type="noConversion"/>
  <conditionalFormatting sqref="A4:A34">
    <cfRule type="expression" dxfId="35" priority="2">
      <formula>WEEKDAY(A4,2)=7</formula>
    </cfRule>
    <cfRule type="expression" dxfId="34" priority="3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88ED2359-3368-4353-8032-05D5E5B72A34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P40"/>
  <sheetViews>
    <sheetView zoomScaleNormal="100" workbookViewId="0">
      <selection activeCell="B7" sqref="B7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8" customWidth="1"/>
    <col min="13" max="13" width="10.85546875" style="52"/>
    <col min="14" max="16" width="10.85546875" style="59"/>
  </cols>
  <sheetData>
    <row r="1" spans="1:15" ht="21" x14ac:dyDescent="0.35">
      <c r="A1" s="53">
        <v>2</v>
      </c>
      <c r="B1" s="48">
        <f>DATE(D1,A1,1)</f>
        <v>46054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'Januar 2026'!L25</f>
        <v>155,25</v>
      </c>
      <c r="F2" s="1"/>
      <c r="G2" s="1"/>
      <c r="H2" s="26"/>
      <c r="I2" s="1"/>
      <c r="J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M3" s="57"/>
    </row>
    <row r="4" spans="1:15" ht="14.1" customHeight="1" x14ac:dyDescent="0.25">
      <c r="A4" s="50">
        <f>DATE($D$1,$A$1,1)</f>
        <v>46054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N4" s="60"/>
      <c r="O4" s="60"/>
    </row>
    <row r="5" spans="1:15" ht="14.1" customHeight="1" x14ac:dyDescent="0.25">
      <c r="A5" s="50">
        <f>A4+1</f>
        <v>46055</v>
      </c>
      <c r="B5" s="2" t="s">
        <v>57</v>
      </c>
      <c r="C5" s="2">
        <v>2.75</v>
      </c>
      <c r="D5" s="2">
        <v>3.75</v>
      </c>
      <c r="E5" s="2">
        <v>1</v>
      </c>
      <c r="F5" s="2"/>
      <c r="G5" s="2">
        <v>1.5</v>
      </c>
      <c r="H5" s="30">
        <f t="shared" ref="H5:H34" si="0">SUM(C5:G5)</f>
        <v>9</v>
      </c>
      <c r="I5" s="2"/>
      <c r="J5" s="2"/>
      <c r="K5" s="36"/>
      <c r="M5" s="57"/>
      <c r="O5" s="60"/>
    </row>
    <row r="6" spans="1:15" ht="14.1" customHeight="1" x14ac:dyDescent="0.25">
      <c r="A6" s="50">
        <f t="shared" ref="A6:A34" si="1">A5+1</f>
        <v>46056</v>
      </c>
      <c r="B6" s="2" t="s">
        <v>39</v>
      </c>
      <c r="C6" s="2">
        <v>8</v>
      </c>
      <c r="D6" s="2"/>
      <c r="E6" s="2"/>
      <c r="F6" s="2"/>
      <c r="G6" s="2"/>
      <c r="H6" s="30">
        <f t="shared" si="0"/>
        <v>8</v>
      </c>
      <c r="I6" s="2"/>
      <c r="J6" s="2"/>
      <c r="K6" s="36"/>
      <c r="M6" s="57"/>
      <c r="O6" s="60"/>
    </row>
    <row r="7" spans="1:15" ht="14.1" customHeight="1" x14ac:dyDescent="0.25">
      <c r="A7" s="50">
        <f t="shared" si="1"/>
        <v>46057</v>
      </c>
      <c r="B7" s="2" t="s">
        <v>39</v>
      </c>
      <c r="C7" s="2">
        <v>7</v>
      </c>
      <c r="D7" s="2"/>
      <c r="E7" s="2"/>
      <c r="F7" s="2"/>
      <c r="G7" s="2"/>
      <c r="H7" s="30">
        <f t="shared" si="0"/>
        <v>7</v>
      </c>
      <c r="I7" s="2"/>
      <c r="J7" s="2"/>
      <c r="K7" s="36"/>
      <c r="M7" s="57"/>
      <c r="O7" s="60"/>
    </row>
    <row r="8" spans="1:15" ht="14.1" customHeight="1" x14ac:dyDescent="0.25">
      <c r="A8" s="50">
        <f t="shared" si="1"/>
        <v>46058</v>
      </c>
      <c r="B8" s="2" t="s">
        <v>39</v>
      </c>
      <c r="C8" s="2">
        <v>4.5</v>
      </c>
      <c r="D8" s="2"/>
      <c r="E8" s="2"/>
      <c r="F8" s="2"/>
      <c r="G8" s="2"/>
      <c r="H8" s="30">
        <f t="shared" si="0"/>
        <v>4.5</v>
      </c>
      <c r="I8" s="2"/>
      <c r="J8" s="2"/>
      <c r="K8" s="36"/>
      <c r="M8" s="57"/>
      <c r="O8" s="60"/>
    </row>
    <row r="9" spans="1:15" ht="14.1" customHeight="1" x14ac:dyDescent="0.25">
      <c r="A9" s="50">
        <f t="shared" si="1"/>
        <v>46059</v>
      </c>
      <c r="B9" s="2" t="s">
        <v>52</v>
      </c>
      <c r="C9" s="2">
        <v>1</v>
      </c>
      <c r="D9" s="2">
        <v>6</v>
      </c>
      <c r="E9" s="2">
        <v>1</v>
      </c>
      <c r="F9" s="2"/>
      <c r="G9" s="2"/>
      <c r="H9" s="30">
        <f t="shared" si="0"/>
        <v>8</v>
      </c>
      <c r="I9" s="2"/>
      <c r="J9" s="2"/>
      <c r="K9" s="36"/>
      <c r="M9" s="57"/>
      <c r="O9" s="60"/>
    </row>
    <row r="10" spans="1:15" ht="14.1" customHeight="1" x14ac:dyDescent="0.25">
      <c r="A10" s="50">
        <f t="shared" si="1"/>
        <v>46060</v>
      </c>
      <c r="B10" s="2" t="s">
        <v>50</v>
      </c>
      <c r="C10" s="2">
        <v>5.5</v>
      </c>
      <c r="D10" s="2">
        <v>1.75</v>
      </c>
      <c r="E10" s="2"/>
      <c r="F10" s="2"/>
      <c r="G10" s="2"/>
      <c r="H10" s="30">
        <f t="shared" si="0"/>
        <v>7.25</v>
      </c>
      <c r="I10" s="2"/>
      <c r="J10" s="2"/>
      <c r="K10" s="1"/>
      <c r="M10" s="57"/>
      <c r="N10" s="60"/>
      <c r="O10" s="61"/>
    </row>
    <row r="11" spans="1:15" ht="14.1" customHeight="1" x14ac:dyDescent="0.25">
      <c r="A11" s="50">
        <f t="shared" si="1"/>
        <v>46061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61"/>
    </row>
    <row r="12" spans="1:15" ht="14.1" customHeight="1" x14ac:dyDescent="0.25">
      <c r="A12" s="50">
        <f t="shared" si="1"/>
        <v>46062</v>
      </c>
      <c r="B12" s="2" t="s">
        <v>53</v>
      </c>
      <c r="C12" s="2">
        <v>3</v>
      </c>
      <c r="D12" s="2">
        <v>1</v>
      </c>
      <c r="E12" s="2">
        <v>4</v>
      </c>
      <c r="F12" s="2"/>
      <c r="G12" s="2"/>
      <c r="H12" s="30">
        <f t="shared" si="0"/>
        <v>8</v>
      </c>
      <c r="I12" s="2"/>
      <c r="J12" s="2"/>
      <c r="K12" s="1"/>
      <c r="M12" s="57"/>
      <c r="N12" s="60"/>
      <c r="O12" s="61"/>
    </row>
    <row r="13" spans="1:15" ht="14.1" customHeight="1" x14ac:dyDescent="0.25">
      <c r="A13" s="50">
        <f t="shared" si="1"/>
        <v>46063</v>
      </c>
      <c r="B13" s="2" t="s">
        <v>51</v>
      </c>
      <c r="C13" s="2"/>
      <c r="D13" s="2">
        <v>2.5</v>
      </c>
      <c r="E13" s="2">
        <v>6</v>
      </c>
      <c r="F13" s="2"/>
      <c r="G13" s="2"/>
      <c r="H13" s="30">
        <f t="shared" si="0"/>
        <v>8.5</v>
      </c>
      <c r="I13" s="2"/>
      <c r="J13" s="2"/>
      <c r="K13" s="1"/>
      <c r="M13" s="57"/>
      <c r="N13" s="60"/>
      <c r="O13" s="61"/>
    </row>
    <row r="14" spans="1:15" ht="14.1" customHeight="1" x14ac:dyDescent="0.25">
      <c r="A14" s="50">
        <f t="shared" si="1"/>
        <v>46064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61"/>
    </row>
    <row r="15" spans="1:15" ht="14.1" customHeight="1" x14ac:dyDescent="0.25">
      <c r="A15" s="50">
        <f t="shared" si="1"/>
        <v>46065</v>
      </c>
      <c r="B15" s="2" t="s">
        <v>38</v>
      </c>
      <c r="C15" s="2">
        <v>2</v>
      </c>
      <c r="D15" s="2"/>
      <c r="E15" s="2"/>
      <c r="F15" s="2"/>
      <c r="G15" s="2"/>
      <c r="H15" s="30">
        <f t="shared" si="0"/>
        <v>2</v>
      </c>
      <c r="I15" s="2"/>
      <c r="J15" s="2"/>
      <c r="K15" s="1"/>
      <c r="M15" s="57"/>
      <c r="N15" s="60"/>
      <c r="O15" s="61"/>
    </row>
    <row r="16" spans="1:15" ht="14.1" customHeight="1" x14ac:dyDescent="0.25">
      <c r="A16" s="50">
        <f t="shared" si="1"/>
        <v>46066</v>
      </c>
      <c r="B16" s="2" t="s">
        <v>38</v>
      </c>
      <c r="C16" s="2">
        <v>8</v>
      </c>
      <c r="D16" s="2"/>
      <c r="E16" s="2"/>
      <c r="F16" s="2"/>
      <c r="G16" s="2"/>
      <c r="H16" s="30">
        <f t="shared" si="0"/>
        <v>8</v>
      </c>
      <c r="I16" s="2"/>
      <c r="J16" s="2"/>
      <c r="K16" s="1"/>
      <c r="M16" s="57"/>
      <c r="N16" s="60"/>
      <c r="O16" s="61"/>
    </row>
    <row r="17" spans="1:15" ht="14.1" customHeight="1" x14ac:dyDescent="0.25">
      <c r="A17" s="50">
        <f t="shared" si="1"/>
        <v>46067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61"/>
    </row>
    <row r="18" spans="1:15" ht="14.1" customHeight="1" x14ac:dyDescent="0.25">
      <c r="A18" s="50">
        <f t="shared" si="1"/>
        <v>46068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61"/>
    </row>
    <row r="19" spans="1:15" ht="14.1" customHeight="1" x14ac:dyDescent="0.25">
      <c r="A19" s="50">
        <f t="shared" si="1"/>
        <v>46069</v>
      </c>
      <c r="B19" s="2" t="s">
        <v>54</v>
      </c>
      <c r="C19" s="2">
        <v>7</v>
      </c>
      <c r="D19" s="2">
        <v>1</v>
      </c>
      <c r="E19" s="2"/>
      <c r="F19" s="2"/>
      <c r="G19" s="2"/>
      <c r="H19" s="30">
        <f t="shared" si="0"/>
        <v>8</v>
      </c>
      <c r="I19" s="2"/>
      <c r="J19" s="2"/>
      <c r="K19" s="1"/>
      <c r="M19" s="57"/>
      <c r="N19" s="60"/>
      <c r="O19" s="61"/>
    </row>
    <row r="20" spans="1:15" ht="14.1" customHeight="1" x14ac:dyDescent="0.25">
      <c r="A20" s="50">
        <f t="shared" si="1"/>
        <v>46070</v>
      </c>
      <c r="B20" s="2" t="s">
        <v>54</v>
      </c>
      <c r="C20" s="2">
        <v>7</v>
      </c>
      <c r="D20" s="2">
        <v>1</v>
      </c>
      <c r="E20" s="2"/>
      <c r="F20" s="2"/>
      <c r="G20" s="2"/>
      <c r="H20" s="30">
        <f t="shared" si="0"/>
        <v>8</v>
      </c>
      <c r="I20" s="2"/>
      <c r="J20" s="2"/>
      <c r="K20" s="1"/>
      <c r="M20" s="57"/>
      <c r="N20" s="60"/>
      <c r="O20" s="61"/>
    </row>
    <row r="21" spans="1:15" ht="14.1" customHeight="1" x14ac:dyDescent="0.25">
      <c r="A21" s="50">
        <f t="shared" si="1"/>
        <v>46071</v>
      </c>
      <c r="B21" s="2" t="s">
        <v>54</v>
      </c>
      <c r="C21" s="2">
        <v>7</v>
      </c>
      <c r="D21" s="2">
        <v>1</v>
      </c>
      <c r="E21" s="2"/>
      <c r="F21" s="2"/>
      <c r="G21" s="2"/>
      <c r="H21" s="30">
        <f t="shared" si="0"/>
        <v>8</v>
      </c>
      <c r="I21" s="2"/>
      <c r="J21" s="2"/>
      <c r="K21" s="1"/>
      <c r="M21" s="57"/>
      <c r="N21" s="60"/>
      <c r="O21" s="61"/>
    </row>
    <row r="22" spans="1:15" ht="14.1" customHeight="1" thickBot="1" x14ac:dyDescent="0.3">
      <c r="A22" s="50">
        <f t="shared" si="1"/>
        <v>46072</v>
      </c>
      <c r="B22" s="2" t="s">
        <v>56</v>
      </c>
      <c r="C22" s="2">
        <v>5</v>
      </c>
      <c r="D22" s="2">
        <v>2</v>
      </c>
      <c r="E22" s="2">
        <v>1</v>
      </c>
      <c r="F22" s="2"/>
      <c r="G22" s="2"/>
      <c r="H22" s="30">
        <f t="shared" si="0"/>
        <v>8</v>
      </c>
      <c r="I22" s="2"/>
      <c r="J22" s="2"/>
      <c r="K22" s="17" t="s">
        <v>9</v>
      </c>
      <c r="L22" s="20">
        <v>174</v>
      </c>
      <c r="M22" s="57"/>
      <c r="N22" s="60"/>
      <c r="O22" s="61"/>
    </row>
    <row r="23" spans="1:15" ht="14.1" customHeight="1" thickBot="1" x14ac:dyDescent="0.3">
      <c r="A23" s="50">
        <f t="shared" si="1"/>
        <v>46073</v>
      </c>
      <c r="B23" s="2" t="s">
        <v>38</v>
      </c>
      <c r="C23" s="2">
        <v>8</v>
      </c>
      <c r="D23" s="2"/>
      <c r="E23" s="2"/>
      <c r="F23" s="2"/>
      <c r="G23" s="2"/>
      <c r="H23" s="30">
        <f t="shared" si="0"/>
        <v>8</v>
      </c>
      <c r="I23" s="2"/>
      <c r="J23" s="2"/>
      <c r="K23" s="17" t="s">
        <v>10</v>
      </c>
      <c r="L23" s="62" t="str">
        <f>IMSUB(E37,L22)</f>
        <v>145,5</v>
      </c>
      <c r="M23" s="57"/>
      <c r="N23" s="60"/>
      <c r="O23" s="61"/>
    </row>
    <row r="24" spans="1:15" ht="14.1" customHeight="1" thickBot="1" x14ac:dyDescent="0.3">
      <c r="A24" s="50">
        <f t="shared" si="1"/>
        <v>46074</v>
      </c>
      <c r="B24" s="2" t="s">
        <v>38</v>
      </c>
      <c r="C24" s="2">
        <v>6</v>
      </c>
      <c r="D24" s="2"/>
      <c r="E24" s="2"/>
      <c r="F24" s="2"/>
      <c r="G24" s="2"/>
      <c r="H24" s="30">
        <f t="shared" si="0"/>
        <v>6</v>
      </c>
      <c r="I24" s="2"/>
      <c r="J24" s="2"/>
      <c r="K24" s="17" t="s">
        <v>11</v>
      </c>
      <c r="L24" s="63"/>
      <c r="M24" s="57"/>
      <c r="N24" s="60"/>
      <c r="O24" s="61"/>
    </row>
    <row r="25" spans="1:15" ht="14.1" customHeight="1" x14ac:dyDescent="0.25">
      <c r="A25" s="50">
        <f t="shared" si="1"/>
        <v>46075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145,5</v>
      </c>
      <c r="M25" s="57"/>
      <c r="N25" s="60"/>
      <c r="O25" s="61"/>
    </row>
    <row r="26" spans="1:15" ht="14.1" customHeight="1" x14ac:dyDescent="0.25">
      <c r="A26" s="50">
        <f t="shared" si="1"/>
        <v>46076</v>
      </c>
      <c r="B26" s="2" t="s">
        <v>38</v>
      </c>
      <c r="C26" s="2">
        <v>8</v>
      </c>
      <c r="D26" s="2"/>
      <c r="E26" s="2"/>
      <c r="F26" s="2"/>
      <c r="G26" s="2"/>
      <c r="H26" s="30">
        <f t="shared" si="0"/>
        <v>8</v>
      </c>
      <c r="I26" s="2"/>
      <c r="J26" s="2"/>
      <c r="K26" s="17" t="s">
        <v>14</v>
      </c>
      <c r="L26" s="24">
        <f>L25+'2026'!B9</f>
        <v>145.5</v>
      </c>
      <c r="M26" s="57"/>
      <c r="N26" s="60"/>
      <c r="O26" s="61"/>
    </row>
    <row r="27" spans="1:15" ht="14.1" customHeight="1" x14ac:dyDescent="0.25">
      <c r="A27" s="50">
        <f t="shared" si="1"/>
        <v>46077</v>
      </c>
      <c r="B27" s="2" t="s">
        <v>38</v>
      </c>
      <c r="C27" s="2">
        <v>8</v>
      </c>
      <c r="D27" s="2"/>
      <c r="E27" s="2"/>
      <c r="F27" s="2"/>
      <c r="G27" s="2"/>
      <c r="H27" s="30">
        <f t="shared" si="0"/>
        <v>8</v>
      </c>
      <c r="I27" s="2"/>
      <c r="J27" s="2"/>
      <c r="K27" s="1"/>
      <c r="M27" s="57"/>
      <c r="N27" s="60"/>
      <c r="O27" s="61"/>
    </row>
    <row r="28" spans="1:15" ht="14.1" customHeight="1" x14ac:dyDescent="0.25">
      <c r="A28" s="50">
        <f t="shared" si="1"/>
        <v>46078</v>
      </c>
      <c r="B28" s="2" t="s">
        <v>54</v>
      </c>
      <c r="C28" s="2">
        <v>7</v>
      </c>
      <c r="D28" s="2">
        <v>1</v>
      </c>
      <c r="E28" s="2"/>
      <c r="F28" s="2"/>
      <c r="G28" s="2"/>
      <c r="H28" s="30">
        <f t="shared" si="0"/>
        <v>8</v>
      </c>
      <c r="I28" s="2"/>
      <c r="J28" s="2"/>
      <c r="K28" s="1"/>
      <c r="M28" s="57"/>
      <c r="N28" s="60"/>
      <c r="O28" s="61"/>
    </row>
    <row r="29" spans="1:15" ht="14.1" customHeight="1" x14ac:dyDescent="0.25">
      <c r="A29" s="50">
        <f t="shared" si="1"/>
        <v>46079</v>
      </c>
      <c r="B29" s="2" t="s">
        <v>55</v>
      </c>
      <c r="C29" s="2">
        <v>2.5</v>
      </c>
      <c r="D29" s="2">
        <v>5.5</v>
      </c>
      <c r="E29" s="2"/>
      <c r="F29" s="2"/>
      <c r="G29" s="2"/>
      <c r="H29" s="30">
        <f t="shared" si="0"/>
        <v>8</v>
      </c>
      <c r="I29" s="2"/>
      <c r="J29" s="2"/>
      <c r="K29" s="1"/>
      <c r="M29" s="57"/>
      <c r="N29" s="60"/>
      <c r="O29" s="61"/>
    </row>
    <row r="30" spans="1:15" ht="14.1" customHeight="1" x14ac:dyDescent="0.25">
      <c r="A30" s="50">
        <f t="shared" si="1"/>
        <v>46080</v>
      </c>
      <c r="B30" s="2" t="s">
        <v>38</v>
      </c>
      <c r="C30" s="2">
        <v>8</v>
      </c>
      <c r="D30" s="2"/>
      <c r="E30" s="2"/>
      <c r="F30" s="2"/>
      <c r="G30" s="2"/>
      <c r="H30" s="30">
        <f t="shared" si="0"/>
        <v>8</v>
      </c>
      <c r="I30" s="2"/>
      <c r="J30" s="2"/>
      <c r="K30" s="1"/>
      <c r="M30" s="57"/>
      <c r="N30" s="60"/>
      <c r="O30" s="61"/>
    </row>
    <row r="31" spans="1:15" ht="14.1" customHeight="1" thickBot="1" x14ac:dyDescent="0.3">
      <c r="A31" s="50">
        <f t="shared" si="1"/>
        <v>46081</v>
      </c>
      <c r="B31" s="2" t="s">
        <v>38</v>
      </c>
      <c r="C31" s="2">
        <v>8</v>
      </c>
      <c r="D31" s="2"/>
      <c r="E31" s="2"/>
      <c r="F31" s="2"/>
      <c r="G31" s="2"/>
      <c r="H31" s="30">
        <f t="shared" si="0"/>
        <v>8</v>
      </c>
      <c r="I31" s="2"/>
      <c r="J31" s="2"/>
      <c r="K31" s="54" t="s">
        <v>5</v>
      </c>
      <c r="M31" s="57"/>
      <c r="N31" s="60"/>
      <c r="O31" s="61"/>
    </row>
    <row r="32" spans="1:15" ht="14.1" customHeight="1" thickBot="1" x14ac:dyDescent="0.3">
      <c r="A32" s="50">
        <f t="shared" si="1"/>
        <v>46082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55">
        <f>Urlaub</f>
        <v>30</v>
      </c>
      <c r="M32" s="57"/>
      <c r="N32" s="60"/>
      <c r="O32" s="61"/>
    </row>
    <row r="33" spans="1:15" ht="14.1" customHeight="1" x14ac:dyDescent="0.25">
      <c r="A33" s="50">
        <f t="shared" si="1"/>
        <v>46083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56"/>
      <c r="M33" s="57"/>
      <c r="N33" s="60"/>
      <c r="O33" s="61"/>
    </row>
    <row r="34" spans="1:15" ht="14.1" customHeight="1" thickBot="1" x14ac:dyDescent="0.3">
      <c r="A34" s="50">
        <f t="shared" si="1"/>
        <v>46084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54" t="s">
        <v>4</v>
      </c>
      <c r="M34" s="57"/>
      <c r="N34" s="60"/>
      <c r="O34" s="61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123.25</v>
      </c>
      <c r="D35" s="32">
        <f>D4+D5+D6+D7+D8+D9+D10+D11+D12+D13+D14+D15+D16+D17+D18+D19+D20+D21+D22+D23+D24+D25+D26+D27+D28+D29+D30+D31+D32+D33+D34</f>
        <v>26.5</v>
      </c>
      <c r="E35" s="32">
        <f>E4+E5+E6+E7+E8+E9+E10+E11+E12+E13+E14+E15+E16+E17+E18+E19+E20+E21+E22+E23+E24+E25+E26+E27+E28+E29+E30+E31+E32+E33+E34</f>
        <v>13</v>
      </c>
      <c r="F35" s="32">
        <f>SUM(F4:F34)</f>
        <v>0</v>
      </c>
      <c r="G35" s="32">
        <f>SUM(G4:G34)</f>
        <v>1.5</v>
      </c>
      <c r="H35" s="33">
        <f>SUM(H4:H34)</f>
        <v>164.25</v>
      </c>
      <c r="I35" s="16">
        <f>SUM(I4:I34)</f>
        <v>0</v>
      </c>
      <c r="J35" s="15">
        <f>SUM(J4:J34)</f>
        <v>0</v>
      </c>
      <c r="K35" s="55">
        <f>Resturlaub</f>
        <v>22</v>
      </c>
      <c r="N35" s="60"/>
      <c r="O35" s="61"/>
    </row>
    <row r="36" spans="1:15" ht="14.1" customHeight="1" thickBot="1" x14ac:dyDescent="0.3">
      <c r="N36" s="60"/>
      <c r="O36" s="61"/>
    </row>
    <row r="37" spans="1:15" ht="15.75" thickBot="1" x14ac:dyDescent="0.3">
      <c r="E37" s="15">
        <f>E2+H35</f>
        <v>319.5</v>
      </c>
      <c r="F37" s="27"/>
      <c r="G37" s="27"/>
      <c r="H37" s="27"/>
      <c r="N37" s="60"/>
      <c r="O37" s="61"/>
    </row>
    <row r="38" spans="1:15" x14ac:dyDescent="0.25">
      <c r="N38" s="60"/>
      <c r="O38" s="61"/>
    </row>
    <row r="39" spans="1:15" x14ac:dyDescent="0.25">
      <c r="N39" s="60"/>
      <c r="O39" s="61"/>
    </row>
    <row r="40" spans="1:15" x14ac:dyDescent="0.25">
      <c r="N40" s="60"/>
      <c r="O40" s="61"/>
    </row>
  </sheetData>
  <phoneticPr fontId="3" type="noConversion"/>
  <conditionalFormatting sqref="A4:A34">
    <cfRule type="expression" dxfId="32" priority="1">
      <formula>WEEKDAY(A4,2)=7</formula>
    </cfRule>
    <cfRule type="expression" dxfId="31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8E29960-E604-49F4-821F-8B3E2791D465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O40"/>
  <sheetViews>
    <sheetView tabSelected="1" zoomScaleNormal="100" workbookViewId="0">
      <selection activeCell="B21" sqref="B21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3</v>
      </c>
      <c r="B1" s="48">
        <f>DATE(D1,A1,1)</f>
        <v>46082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'Februar 2026'!L25</f>
        <v>145,5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46082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46083</v>
      </c>
      <c r="B5" s="2" t="s">
        <v>39</v>
      </c>
      <c r="C5" s="2">
        <v>6</v>
      </c>
      <c r="D5" s="2"/>
      <c r="E5" s="2"/>
      <c r="F5" s="2"/>
      <c r="G5" s="2"/>
      <c r="H5" s="30">
        <f t="shared" ref="H5:H32" si="0">SUM(C5:G5)</f>
        <v>6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46084</v>
      </c>
      <c r="B6" s="2" t="s">
        <v>58</v>
      </c>
      <c r="C6" s="2">
        <v>0.75</v>
      </c>
      <c r="D6" s="2">
        <v>1.25</v>
      </c>
      <c r="E6" s="2">
        <v>6</v>
      </c>
      <c r="F6" s="2"/>
      <c r="G6" s="2"/>
      <c r="H6" s="30">
        <f t="shared" si="0"/>
        <v>8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46085</v>
      </c>
      <c r="B7" s="2" t="s">
        <v>60</v>
      </c>
      <c r="C7" s="2">
        <v>4.5</v>
      </c>
      <c r="D7" s="2">
        <v>3</v>
      </c>
      <c r="E7" s="2">
        <v>0.5</v>
      </c>
      <c r="F7" s="2"/>
      <c r="G7" s="2"/>
      <c r="H7" s="30">
        <f t="shared" si="0"/>
        <v>8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46086</v>
      </c>
      <c r="B8" s="2" t="s">
        <v>38</v>
      </c>
      <c r="C8" s="2">
        <v>6</v>
      </c>
      <c r="D8" s="2"/>
      <c r="E8" s="2"/>
      <c r="F8" s="2"/>
      <c r="G8" s="2"/>
      <c r="H8" s="30">
        <f t="shared" si="0"/>
        <v>6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46087</v>
      </c>
      <c r="B9" s="2" t="s">
        <v>38</v>
      </c>
      <c r="C9" s="2">
        <v>8</v>
      </c>
      <c r="D9" s="2"/>
      <c r="E9" s="2"/>
      <c r="F9" s="2"/>
      <c r="G9" s="2"/>
      <c r="H9" s="30">
        <f t="shared" si="0"/>
        <v>8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46088</v>
      </c>
      <c r="B10" s="2" t="s">
        <v>59</v>
      </c>
      <c r="C10" s="2">
        <v>3.5</v>
      </c>
      <c r="D10" s="2">
        <v>3</v>
      </c>
      <c r="E10" s="2">
        <v>2</v>
      </c>
      <c r="F10" s="2"/>
      <c r="G10" s="2"/>
      <c r="H10" s="30">
        <f t="shared" si="0"/>
        <v>8.5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46089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46090</v>
      </c>
      <c r="B12" s="2" t="s">
        <v>46</v>
      </c>
      <c r="C12" s="2">
        <v>1.5</v>
      </c>
      <c r="D12" s="66">
        <v>8</v>
      </c>
      <c r="E12" s="2"/>
      <c r="F12" s="2"/>
      <c r="G12" s="2"/>
      <c r="H12" s="30">
        <f t="shared" si="0"/>
        <v>9.5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46091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46092</v>
      </c>
      <c r="B14" s="2" t="s">
        <v>38</v>
      </c>
      <c r="C14" s="2"/>
      <c r="D14" s="2">
        <v>5.5</v>
      </c>
      <c r="E14" s="2"/>
      <c r="F14" s="2"/>
      <c r="G14" s="2"/>
      <c r="H14" s="30">
        <f t="shared" si="0"/>
        <v>5.5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46093</v>
      </c>
      <c r="B15" s="2" t="s">
        <v>62</v>
      </c>
      <c r="C15" s="2">
        <v>0.5</v>
      </c>
      <c r="D15" s="66">
        <v>8</v>
      </c>
      <c r="E15" s="2"/>
      <c r="F15" s="2"/>
      <c r="G15" s="2"/>
      <c r="H15" s="30">
        <f t="shared" si="0"/>
        <v>8.5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46094</v>
      </c>
      <c r="B16" s="2" t="s">
        <v>63</v>
      </c>
      <c r="C16" s="2">
        <v>3</v>
      </c>
      <c r="D16" s="2">
        <v>2.5</v>
      </c>
      <c r="E16" s="2">
        <v>9</v>
      </c>
      <c r="F16" s="2"/>
      <c r="G16" s="2"/>
      <c r="H16" s="30">
        <f t="shared" si="0"/>
        <v>14.5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46095</v>
      </c>
      <c r="B17" s="2" t="s">
        <v>38</v>
      </c>
      <c r="C17" s="2"/>
      <c r="D17" s="2"/>
      <c r="E17" s="2">
        <v>7</v>
      </c>
      <c r="F17" s="2"/>
      <c r="G17" s="2"/>
      <c r="H17" s="30">
        <f t="shared" si="0"/>
        <v>7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46096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46097</v>
      </c>
      <c r="B19" s="2" t="s">
        <v>61</v>
      </c>
      <c r="C19" s="66">
        <v>8</v>
      </c>
      <c r="D19" s="2">
        <v>3.5</v>
      </c>
      <c r="E19" s="2">
        <v>0.5</v>
      </c>
      <c r="F19" s="2"/>
      <c r="G19" s="2"/>
      <c r="H19" s="30">
        <f t="shared" si="0"/>
        <v>12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46098</v>
      </c>
      <c r="B20" s="2" t="s">
        <v>38</v>
      </c>
      <c r="C20" s="2">
        <v>2.5</v>
      </c>
      <c r="D20" s="2"/>
      <c r="E20" s="2"/>
      <c r="F20" s="2"/>
      <c r="G20" s="2"/>
      <c r="H20" s="30">
        <f t="shared" si="0"/>
        <v>2.5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46099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46100</v>
      </c>
      <c r="B22" s="2" t="s">
        <v>38</v>
      </c>
      <c r="C22" s="2">
        <v>9</v>
      </c>
      <c r="D22" s="2"/>
      <c r="E22" s="2"/>
      <c r="F22" s="2"/>
      <c r="G22" s="2"/>
      <c r="H22" s="30">
        <f t="shared" si="0"/>
        <v>9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46101</v>
      </c>
      <c r="B23" s="2" t="s">
        <v>38</v>
      </c>
      <c r="C23" s="2">
        <v>10.75</v>
      </c>
      <c r="D23" s="2"/>
      <c r="E23" s="2"/>
      <c r="F23" s="2"/>
      <c r="G23" s="2"/>
      <c r="H23" s="30">
        <f t="shared" si="0"/>
        <v>10.75</v>
      </c>
      <c r="I23" s="2"/>
      <c r="J23" s="2"/>
      <c r="K23" s="17" t="s">
        <v>10</v>
      </c>
      <c r="L23" s="62" t="str">
        <f>IMSUB(E37,L22)</f>
        <v>285,25</v>
      </c>
      <c r="M23" s="57"/>
      <c r="N23" s="60"/>
      <c r="O23" s="42"/>
    </row>
    <row r="24" spans="1:15" ht="14.1" customHeight="1" thickBot="1" x14ac:dyDescent="0.3">
      <c r="A24" s="50">
        <f t="shared" si="1"/>
        <v>46102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46103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285,25</v>
      </c>
      <c r="M25" s="57"/>
      <c r="N25" s="60"/>
      <c r="O25" s="42"/>
    </row>
    <row r="26" spans="1:15" ht="14.1" customHeight="1" x14ac:dyDescent="0.25">
      <c r="A26" s="50">
        <f t="shared" si="1"/>
        <v>46104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285.25</v>
      </c>
      <c r="M26" s="57"/>
      <c r="N26" s="60"/>
      <c r="O26" s="42"/>
    </row>
    <row r="27" spans="1:15" ht="14.1" customHeight="1" x14ac:dyDescent="0.25">
      <c r="A27" s="50">
        <f t="shared" si="1"/>
        <v>46105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46106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46107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46108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46109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46110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46111</v>
      </c>
      <c r="B33" s="2" t="s">
        <v>2</v>
      </c>
      <c r="C33" s="2"/>
      <c r="D33" s="2"/>
      <c r="E33" s="2"/>
      <c r="F33" s="2"/>
      <c r="G33" s="2"/>
      <c r="H33" s="30">
        <v>8</v>
      </c>
      <c r="I33" s="2">
        <v>1</v>
      </c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46112</v>
      </c>
      <c r="B34" s="2" t="s">
        <v>2</v>
      </c>
      <c r="C34" s="2"/>
      <c r="D34" s="2"/>
      <c r="E34" s="25"/>
      <c r="F34" s="25"/>
      <c r="G34" s="25"/>
      <c r="H34" s="30">
        <v>8</v>
      </c>
      <c r="I34" s="5">
        <v>1</v>
      </c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64</v>
      </c>
      <c r="D35" s="32">
        <f>D4+D5+D6+D7+D8+D9+D10+D11+D12+D13+D14+D15+D16+D17+D18+D19+D20+D21+D22+D23+D24+D25+D26+D27+D28+D29+D30+D31+D32+D33+D34</f>
        <v>34.75</v>
      </c>
      <c r="E35" s="32">
        <f>E4+E5+E6+E7+E8+E9+E10+E11+E12+E13+E14+E15+E16+E17+E18+E19+E20+E21+E22+E23+E24+E25+E26+E27+E28+E29+E30+E31+E32+E33+E34</f>
        <v>25</v>
      </c>
      <c r="F35" s="32">
        <f>SUM(F4:F34)</f>
        <v>0</v>
      </c>
      <c r="G35" s="32">
        <f>SUM(G4:G34)</f>
        <v>0</v>
      </c>
      <c r="H35" s="33">
        <f>SUM(H4:H34)</f>
        <v>139.75</v>
      </c>
      <c r="I35" s="16">
        <f>SUM(I4:I34)</f>
        <v>2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285.25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29" priority="1">
      <formula>WEEKDAY(A4,2)=7</formula>
    </cfRule>
    <cfRule type="expression" dxfId="28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8199BA8E-E093-45A0-A3E7-07FE55B07272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O40"/>
  <sheetViews>
    <sheetView zoomScaleNormal="100" workbookViewId="0">
      <selection activeCell="L22" sqref="L22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4</v>
      </c>
      <c r="B1" s="48">
        <f>DATE(D1,A1,1)</f>
        <v>46113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'März 2026'!L25</f>
        <v>285,25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46113</v>
      </c>
      <c r="B4" s="3" t="s">
        <v>2</v>
      </c>
      <c r="C4" s="3"/>
      <c r="D4" s="3"/>
      <c r="E4" s="3"/>
      <c r="F4" s="3"/>
      <c r="G4" s="3"/>
      <c r="H4" s="30">
        <v>8</v>
      </c>
      <c r="I4" s="3">
        <v>1</v>
      </c>
      <c r="J4" s="3"/>
      <c r="K4" s="1"/>
      <c r="N4" s="60"/>
      <c r="O4" s="37"/>
    </row>
    <row r="5" spans="1:15" ht="14.1" customHeight="1" x14ac:dyDescent="0.25">
      <c r="A5" s="50">
        <f>A4+1</f>
        <v>46114</v>
      </c>
      <c r="B5" s="3" t="s">
        <v>2</v>
      </c>
      <c r="C5" s="2"/>
      <c r="D5" s="2"/>
      <c r="E5" s="2"/>
      <c r="F5" s="2"/>
      <c r="G5" s="2"/>
      <c r="H5" s="30">
        <v>8</v>
      </c>
      <c r="I5" s="2">
        <v>1</v>
      </c>
      <c r="J5" s="2"/>
      <c r="K5" s="1"/>
      <c r="M5" s="57"/>
      <c r="O5" s="37"/>
    </row>
    <row r="6" spans="1:15" ht="14.1" customHeight="1" x14ac:dyDescent="0.25">
      <c r="A6" s="50">
        <f t="shared" ref="A6:A34" si="0">A5+1</f>
        <v>46115</v>
      </c>
      <c r="B6" s="2" t="s">
        <v>36</v>
      </c>
      <c r="C6" s="2"/>
      <c r="D6" s="2"/>
      <c r="E6" s="2"/>
      <c r="F6" s="2"/>
      <c r="G6" s="2"/>
      <c r="H6" s="30">
        <v>8</v>
      </c>
      <c r="I6" s="2"/>
      <c r="J6" s="2"/>
      <c r="K6" s="1"/>
      <c r="M6" s="57"/>
      <c r="O6" s="37"/>
    </row>
    <row r="7" spans="1:15" ht="14.1" customHeight="1" x14ac:dyDescent="0.25">
      <c r="A7" s="50">
        <f t="shared" si="0"/>
        <v>46116</v>
      </c>
      <c r="B7" s="2"/>
      <c r="C7" s="2"/>
      <c r="D7" s="2"/>
      <c r="E7" s="2"/>
      <c r="F7" s="2"/>
      <c r="G7" s="2"/>
      <c r="H7" s="30">
        <f t="shared" ref="H7:H34" si="1">SUM(C7:G7)</f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0"/>
        <v>46117</v>
      </c>
      <c r="B8" s="2"/>
      <c r="C8" s="2"/>
      <c r="D8" s="2"/>
      <c r="E8" s="2"/>
      <c r="F8" s="2"/>
      <c r="G8" s="2"/>
      <c r="H8" s="30">
        <f t="shared" si="1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0"/>
        <v>46118</v>
      </c>
      <c r="B9" s="2" t="s">
        <v>36</v>
      </c>
      <c r="C9" s="2"/>
      <c r="D9" s="2"/>
      <c r="E9" s="2"/>
      <c r="F9" s="2"/>
      <c r="G9" s="2"/>
      <c r="H9" s="30">
        <v>8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0"/>
        <v>46119</v>
      </c>
      <c r="B10" s="2"/>
      <c r="C10" s="2"/>
      <c r="D10" s="2"/>
      <c r="E10" s="2"/>
      <c r="F10" s="2"/>
      <c r="G10" s="2"/>
      <c r="H10" s="30">
        <f t="shared" si="1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0"/>
        <v>46120</v>
      </c>
      <c r="B11" s="2"/>
      <c r="C11" s="2"/>
      <c r="D11" s="2"/>
      <c r="E11" s="2"/>
      <c r="F11" s="2"/>
      <c r="G11" s="2"/>
      <c r="H11" s="30">
        <f t="shared" si="1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0"/>
        <v>46121</v>
      </c>
      <c r="B12" s="2"/>
      <c r="C12" s="2"/>
      <c r="D12" s="2"/>
      <c r="E12" s="2"/>
      <c r="F12" s="2"/>
      <c r="G12" s="2"/>
      <c r="H12" s="30">
        <f t="shared" si="1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0"/>
        <v>46122</v>
      </c>
      <c r="B13" s="2"/>
      <c r="C13" s="2"/>
      <c r="D13" s="2"/>
      <c r="E13" s="2"/>
      <c r="F13" s="2"/>
      <c r="G13" s="2"/>
      <c r="H13" s="30">
        <f t="shared" si="1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0"/>
        <v>46123</v>
      </c>
      <c r="B14" s="2"/>
      <c r="C14" s="2"/>
      <c r="D14" s="2"/>
      <c r="E14" s="2"/>
      <c r="F14" s="2"/>
      <c r="G14" s="2"/>
      <c r="H14" s="30">
        <f t="shared" si="1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0"/>
        <v>46124</v>
      </c>
      <c r="B15" s="2"/>
      <c r="C15" s="2"/>
      <c r="D15" s="2"/>
      <c r="E15" s="2"/>
      <c r="F15" s="2"/>
      <c r="G15" s="2"/>
      <c r="H15" s="30">
        <f t="shared" si="1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0"/>
        <v>46125</v>
      </c>
      <c r="B16" s="2"/>
      <c r="C16" s="2"/>
      <c r="D16" s="2"/>
      <c r="E16" s="2"/>
      <c r="F16" s="2"/>
      <c r="G16" s="2"/>
      <c r="H16" s="30">
        <f t="shared" si="1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0"/>
        <v>46126</v>
      </c>
      <c r="B17" s="2"/>
      <c r="C17" s="2"/>
      <c r="D17" s="2"/>
      <c r="E17" s="2"/>
      <c r="F17" s="2"/>
      <c r="G17" s="2"/>
      <c r="H17" s="30">
        <f t="shared" si="1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0"/>
        <v>46127</v>
      </c>
      <c r="B18" s="2"/>
      <c r="C18" s="2"/>
      <c r="D18" s="2"/>
      <c r="E18" s="2"/>
      <c r="F18" s="2"/>
      <c r="G18" s="2"/>
      <c r="H18" s="30">
        <f t="shared" si="1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0"/>
        <v>46128</v>
      </c>
      <c r="B19" s="2"/>
      <c r="C19" s="2"/>
      <c r="D19" s="2"/>
      <c r="E19" s="2"/>
      <c r="F19" s="2"/>
      <c r="G19" s="2"/>
      <c r="H19" s="30">
        <f t="shared" si="1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0"/>
        <v>46129</v>
      </c>
      <c r="B20" s="2"/>
      <c r="C20" s="2"/>
      <c r="D20" s="2"/>
      <c r="E20" s="2"/>
      <c r="F20" s="2"/>
      <c r="G20" s="2"/>
      <c r="H20" s="30">
        <f t="shared" si="1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0"/>
        <v>46130</v>
      </c>
      <c r="B21" s="2"/>
      <c r="C21" s="2"/>
      <c r="D21" s="2"/>
      <c r="E21" s="2"/>
      <c r="F21" s="2"/>
      <c r="G21" s="2"/>
      <c r="H21" s="30">
        <f t="shared" si="1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0"/>
        <v>46131</v>
      </c>
      <c r="B22" s="2"/>
      <c r="C22" s="2"/>
      <c r="D22" s="2"/>
      <c r="E22" s="2"/>
      <c r="F22" s="2"/>
      <c r="G22" s="2"/>
      <c r="H22" s="30">
        <f t="shared" si="1"/>
        <v>0</v>
      </c>
      <c r="I22" s="2"/>
      <c r="J22" s="2"/>
      <c r="K22" s="17" t="s">
        <v>9</v>
      </c>
      <c r="L22" s="20">
        <v>174</v>
      </c>
      <c r="M22" s="57"/>
      <c r="N22" s="60"/>
      <c r="O22" s="42"/>
    </row>
    <row r="23" spans="1:15" ht="14.1" customHeight="1" thickBot="1" x14ac:dyDescent="0.3">
      <c r="A23" s="50">
        <f t="shared" si="0"/>
        <v>46132</v>
      </c>
      <c r="B23" s="2"/>
      <c r="C23" s="2"/>
      <c r="D23" s="2"/>
      <c r="E23" s="2"/>
      <c r="F23" s="2"/>
      <c r="G23" s="2"/>
      <c r="H23" s="30">
        <f t="shared" si="1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0"/>
        <v>46133</v>
      </c>
      <c r="B24" s="2"/>
      <c r="C24" s="2"/>
      <c r="D24" s="2"/>
      <c r="E24" s="2"/>
      <c r="F24" s="2"/>
      <c r="G24" s="2"/>
      <c r="H24" s="30">
        <f t="shared" si="1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0"/>
        <v>46134</v>
      </c>
      <c r="B25" s="2"/>
      <c r="C25" s="2"/>
      <c r="D25" s="2"/>
      <c r="E25" s="2"/>
      <c r="F25" s="2"/>
      <c r="G25" s="2"/>
      <c r="H25" s="30">
        <f t="shared" si="1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0"/>
        <v>46135</v>
      </c>
      <c r="B26" s="2"/>
      <c r="C26" s="2"/>
      <c r="D26" s="2"/>
      <c r="E26" s="2"/>
      <c r="F26" s="2"/>
      <c r="G26" s="2"/>
      <c r="H26" s="30">
        <f t="shared" si="1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0"/>
        <v>46136</v>
      </c>
      <c r="B27" s="2"/>
      <c r="C27" s="2"/>
      <c r="D27" s="2"/>
      <c r="E27" s="2"/>
      <c r="F27" s="2"/>
      <c r="G27" s="2"/>
      <c r="H27" s="30">
        <f t="shared" si="1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0"/>
        <v>46137</v>
      </c>
      <c r="B28" s="2"/>
      <c r="C28" s="2"/>
      <c r="D28" s="2"/>
      <c r="E28" s="2"/>
      <c r="F28" s="2"/>
      <c r="G28" s="2"/>
      <c r="H28" s="30">
        <f t="shared" si="1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0"/>
        <v>46138</v>
      </c>
      <c r="B29" s="2"/>
      <c r="C29" s="2"/>
      <c r="D29" s="2"/>
      <c r="E29" s="2"/>
      <c r="F29" s="2"/>
      <c r="G29" s="2"/>
      <c r="H29" s="30">
        <f t="shared" si="1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0"/>
        <v>46139</v>
      </c>
      <c r="B30" s="2" t="s">
        <v>2</v>
      </c>
      <c r="C30" s="2"/>
      <c r="D30" s="2"/>
      <c r="E30" s="2"/>
      <c r="F30" s="2"/>
      <c r="G30" s="2"/>
      <c r="H30" s="30">
        <v>8</v>
      </c>
      <c r="I30" s="2">
        <v>1</v>
      </c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0"/>
        <v>46140</v>
      </c>
      <c r="B31" s="2" t="s">
        <v>2</v>
      </c>
      <c r="C31" s="2"/>
      <c r="D31" s="2"/>
      <c r="E31" s="2"/>
      <c r="F31" s="2"/>
      <c r="G31" s="2"/>
      <c r="H31" s="30">
        <v>8</v>
      </c>
      <c r="I31" s="2">
        <v>1</v>
      </c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0"/>
        <v>46141</v>
      </c>
      <c r="B32" s="2" t="s">
        <v>2</v>
      </c>
      <c r="C32" s="2"/>
      <c r="D32" s="2"/>
      <c r="E32" s="2"/>
      <c r="F32" s="2"/>
      <c r="G32" s="2"/>
      <c r="H32" s="30">
        <v>8</v>
      </c>
      <c r="I32" s="2">
        <v>1</v>
      </c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0"/>
        <v>46142</v>
      </c>
      <c r="B33" s="2" t="s">
        <v>2</v>
      </c>
      <c r="C33" s="2"/>
      <c r="D33" s="2"/>
      <c r="E33" s="2"/>
      <c r="F33" s="2"/>
      <c r="G33" s="2"/>
      <c r="H33" s="30">
        <v>8</v>
      </c>
      <c r="I33" s="2">
        <v>1</v>
      </c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0"/>
        <v>46143</v>
      </c>
      <c r="B34" s="24"/>
      <c r="C34" s="2"/>
      <c r="D34" s="2"/>
      <c r="E34" s="25"/>
      <c r="F34" s="25"/>
      <c r="G34" s="25"/>
      <c r="H34" s="30">
        <f t="shared" si="1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64</v>
      </c>
      <c r="I35" s="16">
        <f>SUM(I4:I34)</f>
        <v>6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349.25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26" priority="1">
      <formula>WEEKDAY(A4,2)=7</formula>
    </cfRule>
    <cfRule type="expression" dxfId="25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E569A98-5D63-469B-B3FD-6FFC803C1DF5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O40"/>
  <sheetViews>
    <sheetView topLeftCell="A13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5</v>
      </c>
      <c r="B1" s="48">
        <f>DATE(D1,A1,1)</f>
        <v>46143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'April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46143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46144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46145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46146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46147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46148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46149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46150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46151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46152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46153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46154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46155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46156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46157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46158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46159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46160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46161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46162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46163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46164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46165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46166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46167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46168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46169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46170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46171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46172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46173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23" priority="1">
      <formula>WEEKDAY(A4,2)=7</formula>
    </cfRule>
    <cfRule type="expression" dxfId="22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5F902A73-BAD7-4DE6-AE74-F25E288C75C5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O40"/>
  <sheetViews>
    <sheetView topLeftCell="A9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6</v>
      </c>
      <c r="B1" s="48">
        <f>DATE(D1,A1,1)</f>
        <v>46174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'Mai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46174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46175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46176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46177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46178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46179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46180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46181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46182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46183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46184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46185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46186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46187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46188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46189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46190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46191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46192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46193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46194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46195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46196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46197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46198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46199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46200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46201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46202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46203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46204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20" priority="1">
      <formula>WEEKDAY(A4,2)=7</formula>
    </cfRule>
    <cfRule type="expression" dxfId="19" priority="2">
      <formula>WEEKDAY(A4,2)=6</formula>
    </cfRule>
  </conditionalFormatting>
  <pageMargins left="0.23622047244094491" right="0.23622047244094491" top="0.47244094488188981" bottom="0.47244094488188981" header="0.31496062992125984" footer="0.31496062992125984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B5F90B4-66B9-4C0C-A666-4979E269EA74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O40"/>
  <sheetViews>
    <sheetView topLeftCell="A10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7</v>
      </c>
      <c r="B1" s="48">
        <f>DATE(D1,A1,1)</f>
        <v>46204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'Juni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46204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46205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46206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46207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46208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46209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46210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46211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46212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46213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46214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46215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46216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46217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46218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46219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46220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46221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46222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46223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46224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46225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46226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46227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46228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46229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46230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46231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46232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46233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46234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17" priority="1">
      <formula>WEEKDAY(A4,2)=7</formula>
    </cfRule>
    <cfRule type="expression" dxfId="16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6B625637-97A7-4FC1-8EF2-AB90488F9D35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O40"/>
  <sheetViews>
    <sheetView topLeftCell="A10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8</v>
      </c>
      <c r="B1" s="48">
        <f>DATE(D1,A1,1)</f>
        <v>46235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'Juli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46235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46236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46237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46238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46239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46240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46241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46242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46243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46244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46245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46246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46247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46248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46249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46250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46251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46252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46253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46254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46255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46256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46257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46258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46259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46260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46261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46262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46263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46264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46265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14" priority="1">
      <formula>WEEKDAY(A4,2)=7</formula>
    </cfRule>
    <cfRule type="expression" dxfId="13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36FCD51-C798-416A-A07C-FDE400F5BFA8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O40"/>
  <sheetViews>
    <sheetView topLeftCell="A9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5" width="10.85546875" style="59"/>
  </cols>
  <sheetData>
    <row r="1" spans="1:15" ht="21" x14ac:dyDescent="0.35">
      <c r="A1" s="53">
        <v>9</v>
      </c>
      <c r="B1" s="48">
        <f>DATE(D1,A1,1)</f>
        <v>46266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'August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46266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60"/>
    </row>
    <row r="5" spans="1:15" ht="14.1" customHeight="1" x14ac:dyDescent="0.25">
      <c r="A5" s="50">
        <f>A4+1</f>
        <v>46267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60"/>
    </row>
    <row r="6" spans="1:15" ht="14.1" customHeight="1" x14ac:dyDescent="0.25">
      <c r="A6" s="50">
        <f t="shared" ref="A6:A34" si="1">A5+1</f>
        <v>46268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60"/>
    </row>
    <row r="7" spans="1:15" ht="14.1" customHeight="1" x14ac:dyDescent="0.25">
      <c r="A7" s="50">
        <f t="shared" si="1"/>
        <v>46269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60"/>
    </row>
    <row r="8" spans="1:15" ht="14.1" customHeight="1" x14ac:dyDescent="0.25">
      <c r="A8" s="50">
        <f t="shared" si="1"/>
        <v>46270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60"/>
    </row>
    <row r="9" spans="1:15" ht="14.1" customHeight="1" x14ac:dyDescent="0.25">
      <c r="A9" s="50">
        <f t="shared" si="1"/>
        <v>46271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60"/>
    </row>
    <row r="10" spans="1:15" ht="14.1" customHeight="1" x14ac:dyDescent="0.25">
      <c r="A10" s="50">
        <f t="shared" si="1"/>
        <v>46272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61"/>
    </row>
    <row r="11" spans="1:15" ht="14.1" customHeight="1" x14ac:dyDescent="0.25">
      <c r="A11" s="50">
        <f t="shared" si="1"/>
        <v>46273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61"/>
    </row>
    <row r="12" spans="1:15" ht="14.1" customHeight="1" x14ac:dyDescent="0.25">
      <c r="A12" s="50">
        <f t="shared" si="1"/>
        <v>46274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61"/>
    </row>
    <row r="13" spans="1:15" ht="14.1" customHeight="1" x14ac:dyDescent="0.25">
      <c r="A13" s="50">
        <f t="shared" si="1"/>
        <v>46275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61"/>
    </row>
    <row r="14" spans="1:15" ht="14.1" customHeight="1" x14ac:dyDescent="0.25">
      <c r="A14" s="50">
        <f t="shared" si="1"/>
        <v>46276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61"/>
    </row>
    <row r="15" spans="1:15" ht="14.1" customHeight="1" x14ac:dyDescent="0.25">
      <c r="A15" s="50">
        <f t="shared" si="1"/>
        <v>46277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61"/>
    </row>
    <row r="16" spans="1:15" ht="14.1" customHeight="1" x14ac:dyDescent="0.25">
      <c r="A16" s="50">
        <f t="shared" si="1"/>
        <v>46278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61"/>
    </row>
    <row r="17" spans="1:15" ht="14.1" customHeight="1" x14ac:dyDescent="0.25">
      <c r="A17" s="50">
        <f t="shared" si="1"/>
        <v>46279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61"/>
    </row>
    <row r="18" spans="1:15" ht="14.1" customHeight="1" x14ac:dyDescent="0.25">
      <c r="A18" s="50">
        <f t="shared" si="1"/>
        <v>46280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61"/>
    </row>
    <row r="19" spans="1:15" ht="14.1" customHeight="1" x14ac:dyDescent="0.25">
      <c r="A19" s="50">
        <f t="shared" si="1"/>
        <v>46281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61"/>
    </row>
    <row r="20" spans="1:15" ht="14.1" customHeight="1" x14ac:dyDescent="0.25">
      <c r="A20" s="50">
        <f t="shared" si="1"/>
        <v>46282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61"/>
    </row>
    <row r="21" spans="1:15" ht="14.1" customHeight="1" x14ac:dyDescent="0.25">
      <c r="A21" s="50">
        <f t="shared" si="1"/>
        <v>46283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61"/>
    </row>
    <row r="22" spans="1:15" ht="14.1" customHeight="1" thickBot="1" x14ac:dyDescent="0.3">
      <c r="A22" s="50">
        <f t="shared" si="1"/>
        <v>46284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61"/>
    </row>
    <row r="23" spans="1:15" ht="14.1" customHeight="1" thickBot="1" x14ac:dyDescent="0.3">
      <c r="A23" s="50">
        <f t="shared" si="1"/>
        <v>46285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61"/>
    </row>
    <row r="24" spans="1:15" ht="14.1" customHeight="1" thickBot="1" x14ac:dyDescent="0.3">
      <c r="A24" s="50">
        <f t="shared" si="1"/>
        <v>46286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61"/>
    </row>
    <row r="25" spans="1:15" ht="14.1" customHeight="1" x14ac:dyDescent="0.25">
      <c r="A25" s="50">
        <f t="shared" si="1"/>
        <v>46287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61"/>
    </row>
    <row r="26" spans="1:15" ht="14.1" customHeight="1" x14ac:dyDescent="0.25">
      <c r="A26" s="50">
        <f t="shared" si="1"/>
        <v>46288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61"/>
    </row>
    <row r="27" spans="1:15" ht="14.1" customHeight="1" x14ac:dyDescent="0.25">
      <c r="A27" s="50">
        <f t="shared" si="1"/>
        <v>46289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61"/>
    </row>
    <row r="28" spans="1:15" ht="14.1" customHeight="1" x14ac:dyDescent="0.25">
      <c r="A28" s="50">
        <f t="shared" si="1"/>
        <v>46290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61"/>
    </row>
    <row r="29" spans="1:15" ht="14.1" customHeight="1" x14ac:dyDescent="0.25">
      <c r="A29" s="50">
        <f t="shared" si="1"/>
        <v>46291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61"/>
    </row>
    <row r="30" spans="1:15" ht="14.1" customHeight="1" x14ac:dyDescent="0.25">
      <c r="A30" s="50">
        <f t="shared" si="1"/>
        <v>46292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61"/>
    </row>
    <row r="31" spans="1:15" ht="14.1" customHeight="1" thickBot="1" x14ac:dyDescent="0.3">
      <c r="A31" s="50">
        <f t="shared" si="1"/>
        <v>46293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61"/>
    </row>
    <row r="32" spans="1:15" ht="14.1" customHeight="1" thickBot="1" x14ac:dyDescent="0.3">
      <c r="A32" s="50">
        <f t="shared" si="1"/>
        <v>46294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61"/>
    </row>
    <row r="33" spans="1:15" ht="14.1" customHeight="1" x14ac:dyDescent="0.25">
      <c r="A33" s="50">
        <f t="shared" si="1"/>
        <v>46295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61"/>
    </row>
    <row r="34" spans="1:15" ht="14.1" customHeight="1" thickBot="1" x14ac:dyDescent="0.3">
      <c r="A34" s="50">
        <f t="shared" si="1"/>
        <v>46296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61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61"/>
    </row>
    <row r="36" spans="1:15" ht="14.1" customHeight="1" thickBot="1" x14ac:dyDescent="0.3">
      <c r="N36" s="60"/>
      <c r="O36" s="61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61"/>
    </row>
    <row r="38" spans="1:15" x14ac:dyDescent="0.25">
      <c r="N38" s="60"/>
      <c r="O38" s="61"/>
    </row>
    <row r="39" spans="1:15" x14ac:dyDescent="0.25">
      <c r="N39" s="60"/>
      <c r="O39" s="61"/>
    </row>
    <row r="40" spans="1:15" x14ac:dyDescent="0.25">
      <c r="N40" s="60"/>
      <c r="O40" s="61"/>
    </row>
  </sheetData>
  <phoneticPr fontId="3" type="noConversion"/>
  <conditionalFormatting sqref="A4:A34">
    <cfRule type="expression" dxfId="11" priority="1">
      <formula>WEEKDAY(A4,2)=7</formula>
    </cfRule>
    <cfRule type="expression" dxfId="10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5D3E72CC-ED41-4DA6-8162-0A0A136BA1C1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O40"/>
  <sheetViews>
    <sheetView topLeftCell="A10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10</v>
      </c>
      <c r="B1" s="48">
        <f>DATE(D1,A1,1)</f>
        <v>46296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'September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46296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46297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46298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46299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46300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46301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46302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46303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46304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46305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46306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46307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46308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46309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46310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46311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46312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46313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46314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46315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46316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46317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46318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46319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46320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46321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46322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46323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46324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46325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46326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8" priority="1">
      <formula>WEEKDAY(A4,2)=7</formula>
    </cfRule>
    <cfRule type="expression" dxfId="7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17CF436-A217-4519-BB56-B34611697A1B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O40"/>
  <sheetViews>
    <sheetView topLeftCell="A12" zoomScaleNormal="100" workbookViewId="0">
      <selection activeCell="E3" sqref="E3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11</v>
      </c>
      <c r="B1" s="48">
        <f>DATE(D1,A1,1)</f>
        <v>46327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'Oktober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46327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46328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46329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46330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46331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46332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46333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46334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46335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46336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46337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46338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46339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46340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46341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46342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46343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46344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46345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46346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46347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46348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46349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46350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46351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46352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46353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46354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46355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46356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46357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5" priority="1">
      <formula>WEEKDAY(A4,2)=7</formula>
    </cfRule>
    <cfRule type="expression" dxfId="4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8B7B488-FF66-4CEF-8B94-100799296F12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O40"/>
  <sheetViews>
    <sheetView zoomScaleNormal="100" zoomScalePageLayoutView="50" workbookViewId="0">
      <selection activeCell="I18" sqref="I18"/>
    </sheetView>
  </sheetViews>
  <sheetFormatPr baseColWidth="10" defaultRowHeight="15" x14ac:dyDescent="0.25"/>
  <cols>
    <col min="1" max="1" width="16.42578125" style="40" customWidth="1"/>
    <col min="2" max="2" width="26.42578125" customWidth="1"/>
    <col min="3" max="3" width="14.7109375" bestFit="1" customWidth="1"/>
    <col min="4" max="4" width="9.28515625" customWidth="1"/>
    <col min="11" max="11" width="19.42578125" customWidth="1"/>
    <col min="13" max="13" width="10.85546875" style="52"/>
    <col min="14" max="14" width="10.85546875" style="59"/>
  </cols>
  <sheetData>
    <row r="1" spans="1:15" ht="21" x14ac:dyDescent="0.35">
      <c r="A1" s="53">
        <v>12</v>
      </c>
      <c r="B1" s="48">
        <f>DATE(D1,A1,1)</f>
        <v>46357</v>
      </c>
      <c r="C1" s="51" t="str">
        <f>'2026'!B3</f>
        <v>Vadim Erke</v>
      </c>
      <c r="D1" s="51">
        <v>2026</v>
      </c>
      <c r="E1" s="1"/>
      <c r="F1" s="1"/>
      <c r="G1" s="1"/>
      <c r="H1" s="1"/>
      <c r="I1" s="1"/>
      <c r="J1" s="1"/>
      <c r="K1" s="1"/>
      <c r="M1" s="58"/>
      <c r="N1" s="58"/>
    </row>
    <row r="2" spans="1:15" ht="14.1" customHeight="1" thickBot="1" x14ac:dyDescent="0.3">
      <c r="B2" s="2" t="s">
        <v>13</v>
      </c>
      <c r="C2" s="2"/>
      <c r="D2" s="2"/>
      <c r="E2" s="2" t="str">
        <f>'November 2026'!L25</f>
        <v>175,25</v>
      </c>
      <c r="F2" s="1"/>
      <c r="G2" s="1"/>
      <c r="H2" s="26"/>
      <c r="I2" s="1"/>
      <c r="J2" s="1"/>
      <c r="K2" s="1"/>
      <c r="M2" s="57"/>
    </row>
    <row r="3" spans="1:15" ht="25.5" thickBot="1" x14ac:dyDescent="0.3">
      <c r="A3" s="39"/>
      <c r="B3" s="4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15</v>
      </c>
      <c r="H3" s="29" t="s">
        <v>16</v>
      </c>
      <c r="I3" s="28" t="s">
        <v>2</v>
      </c>
      <c r="J3" s="4" t="s">
        <v>3</v>
      </c>
      <c r="K3" s="1"/>
      <c r="M3" s="57"/>
    </row>
    <row r="4" spans="1:15" ht="14.1" customHeight="1" x14ac:dyDescent="0.25">
      <c r="A4" s="50">
        <f>DATE($D$1,$A$1,1)</f>
        <v>46357</v>
      </c>
      <c r="B4" s="3"/>
      <c r="C4" s="3"/>
      <c r="D4" s="3"/>
      <c r="E4" s="3"/>
      <c r="F4" s="3"/>
      <c r="G4" s="3"/>
      <c r="H4" s="30">
        <f>SUM(C4:G4)</f>
        <v>0</v>
      </c>
      <c r="I4" s="3"/>
      <c r="J4" s="3"/>
      <c r="K4" s="1"/>
      <c r="N4" s="60"/>
      <c r="O4" s="37"/>
    </row>
    <row r="5" spans="1:15" ht="14.1" customHeight="1" x14ac:dyDescent="0.25">
      <c r="A5" s="50">
        <f>A4+1</f>
        <v>46358</v>
      </c>
      <c r="B5" s="2"/>
      <c r="C5" s="2"/>
      <c r="D5" s="2"/>
      <c r="E5" s="2"/>
      <c r="F5" s="2"/>
      <c r="G5" s="2"/>
      <c r="H5" s="30">
        <f t="shared" ref="H5:H34" si="0">SUM(C5:G5)</f>
        <v>0</v>
      </c>
      <c r="I5" s="2"/>
      <c r="J5" s="2"/>
      <c r="K5" s="1"/>
      <c r="M5" s="57"/>
      <c r="O5" s="37"/>
    </row>
    <row r="6" spans="1:15" ht="14.1" customHeight="1" x14ac:dyDescent="0.25">
      <c r="A6" s="50">
        <f t="shared" ref="A6:A34" si="1">A5+1</f>
        <v>46359</v>
      </c>
      <c r="B6" s="2"/>
      <c r="C6" s="2"/>
      <c r="D6" s="2"/>
      <c r="E6" s="2"/>
      <c r="F6" s="2"/>
      <c r="G6" s="2"/>
      <c r="H6" s="30">
        <f t="shared" si="0"/>
        <v>0</v>
      </c>
      <c r="I6" s="2"/>
      <c r="J6" s="2"/>
      <c r="K6" s="1"/>
      <c r="M6" s="57"/>
      <c r="O6" s="37"/>
    </row>
    <row r="7" spans="1:15" ht="14.1" customHeight="1" x14ac:dyDescent="0.25">
      <c r="A7" s="50">
        <f t="shared" si="1"/>
        <v>46360</v>
      </c>
      <c r="B7" s="2"/>
      <c r="C7" s="2"/>
      <c r="D7" s="2"/>
      <c r="E7" s="2"/>
      <c r="F7" s="2"/>
      <c r="G7" s="2"/>
      <c r="H7" s="30">
        <f t="shared" si="0"/>
        <v>0</v>
      </c>
      <c r="I7" s="2"/>
      <c r="J7" s="2"/>
      <c r="K7" s="1"/>
      <c r="M7" s="57"/>
      <c r="O7" s="37"/>
    </row>
    <row r="8" spans="1:15" ht="14.1" customHeight="1" x14ac:dyDescent="0.25">
      <c r="A8" s="50">
        <f t="shared" si="1"/>
        <v>46361</v>
      </c>
      <c r="B8" s="2"/>
      <c r="C8" s="2"/>
      <c r="D8" s="2"/>
      <c r="E8" s="2"/>
      <c r="F8" s="2"/>
      <c r="G8" s="2"/>
      <c r="H8" s="30">
        <f t="shared" si="0"/>
        <v>0</v>
      </c>
      <c r="I8" s="2"/>
      <c r="J8" s="2"/>
      <c r="K8" s="1"/>
      <c r="M8" s="57"/>
      <c r="O8" s="37"/>
    </row>
    <row r="9" spans="1:15" ht="14.1" customHeight="1" x14ac:dyDescent="0.25">
      <c r="A9" s="50">
        <f t="shared" si="1"/>
        <v>46362</v>
      </c>
      <c r="B9" s="2"/>
      <c r="C9" s="2"/>
      <c r="D9" s="2"/>
      <c r="E9" s="2"/>
      <c r="F9" s="2"/>
      <c r="G9" s="2"/>
      <c r="H9" s="30">
        <f t="shared" si="0"/>
        <v>0</v>
      </c>
      <c r="I9" s="2"/>
      <c r="J9" s="2"/>
      <c r="K9" s="1"/>
      <c r="M9" s="57"/>
      <c r="O9" s="37"/>
    </row>
    <row r="10" spans="1:15" ht="14.1" customHeight="1" x14ac:dyDescent="0.25">
      <c r="A10" s="50">
        <f t="shared" si="1"/>
        <v>46363</v>
      </c>
      <c r="B10" s="2"/>
      <c r="C10" s="2"/>
      <c r="D10" s="2"/>
      <c r="E10" s="2"/>
      <c r="F10" s="2"/>
      <c r="G10" s="2"/>
      <c r="H10" s="30">
        <f t="shared" si="0"/>
        <v>0</v>
      </c>
      <c r="I10" s="2"/>
      <c r="J10" s="2"/>
      <c r="K10" s="1"/>
      <c r="M10" s="57"/>
      <c r="N10" s="60"/>
      <c r="O10" s="42"/>
    </row>
    <row r="11" spans="1:15" ht="14.1" customHeight="1" x14ac:dyDescent="0.25">
      <c r="A11" s="50">
        <f t="shared" si="1"/>
        <v>46364</v>
      </c>
      <c r="B11" s="2"/>
      <c r="C11" s="2"/>
      <c r="D11" s="2"/>
      <c r="E11" s="2"/>
      <c r="F11" s="2"/>
      <c r="G11" s="2"/>
      <c r="H11" s="30">
        <f t="shared" si="0"/>
        <v>0</v>
      </c>
      <c r="I11" s="2"/>
      <c r="J11" s="2"/>
      <c r="K11" s="1"/>
      <c r="M11" s="57"/>
      <c r="N11" s="60"/>
      <c r="O11" s="42"/>
    </row>
    <row r="12" spans="1:15" ht="14.1" customHeight="1" x14ac:dyDescent="0.25">
      <c r="A12" s="50">
        <f t="shared" si="1"/>
        <v>46365</v>
      </c>
      <c r="B12" s="2"/>
      <c r="C12" s="2"/>
      <c r="D12" s="2"/>
      <c r="E12" s="2"/>
      <c r="F12" s="2"/>
      <c r="G12" s="2"/>
      <c r="H12" s="30">
        <f t="shared" si="0"/>
        <v>0</v>
      </c>
      <c r="I12" s="2"/>
      <c r="J12" s="2"/>
      <c r="K12" s="1"/>
      <c r="M12" s="57"/>
      <c r="N12" s="60"/>
      <c r="O12" s="42"/>
    </row>
    <row r="13" spans="1:15" ht="14.1" customHeight="1" x14ac:dyDescent="0.25">
      <c r="A13" s="50">
        <f t="shared" si="1"/>
        <v>46366</v>
      </c>
      <c r="B13" s="2"/>
      <c r="C13" s="2"/>
      <c r="D13" s="2"/>
      <c r="E13" s="2"/>
      <c r="F13" s="2"/>
      <c r="G13" s="2"/>
      <c r="H13" s="30">
        <f t="shared" si="0"/>
        <v>0</v>
      </c>
      <c r="I13" s="2"/>
      <c r="J13" s="2"/>
      <c r="K13" s="1"/>
      <c r="M13" s="57"/>
      <c r="N13" s="60"/>
      <c r="O13" s="42"/>
    </row>
    <row r="14" spans="1:15" ht="14.1" customHeight="1" x14ac:dyDescent="0.25">
      <c r="A14" s="50">
        <f t="shared" si="1"/>
        <v>46367</v>
      </c>
      <c r="B14" s="2"/>
      <c r="C14" s="2"/>
      <c r="D14" s="2"/>
      <c r="E14" s="2"/>
      <c r="F14" s="2"/>
      <c r="G14" s="2"/>
      <c r="H14" s="30">
        <f t="shared" si="0"/>
        <v>0</v>
      </c>
      <c r="I14" s="2"/>
      <c r="J14" s="2"/>
      <c r="K14" s="1"/>
      <c r="M14" s="57"/>
      <c r="N14" s="60"/>
      <c r="O14" s="42"/>
    </row>
    <row r="15" spans="1:15" ht="14.1" customHeight="1" x14ac:dyDescent="0.25">
      <c r="A15" s="50">
        <f t="shared" si="1"/>
        <v>46368</v>
      </c>
      <c r="B15" s="2"/>
      <c r="C15" s="2"/>
      <c r="D15" s="2"/>
      <c r="E15" s="2"/>
      <c r="F15" s="2"/>
      <c r="G15" s="2"/>
      <c r="H15" s="30">
        <f t="shared" si="0"/>
        <v>0</v>
      </c>
      <c r="I15" s="2"/>
      <c r="J15" s="2"/>
      <c r="K15" s="1"/>
      <c r="M15" s="57"/>
      <c r="N15" s="60"/>
      <c r="O15" s="42"/>
    </row>
    <row r="16" spans="1:15" ht="14.1" customHeight="1" x14ac:dyDescent="0.25">
      <c r="A16" s="50">
        <f t="shared" si="1"/>
        <v>46369</v>
      </c>
      <c r="B16" s="2"/>
      <c r="C16" s="2"/>
      <c r="D16" s="2"/>
      <c r="E16" s="2"/>
      <c r="F16" s="2"/>
      <c r="G16" s="2"/>
      <c r="H16" s="30">
        <f t="shared" si="0"/>
        <v>0</v>
      </c>
      <c r="I16" s="2"/>
      <c r="J16" s="2"/>
      <c r="K16" s="1"/>
      <c r="M16" s="57"/>
      <c r="N16" s="60"/>
      <c r="O16" s="42"/>
    </row>
    <row r="17" spans="1:15" ht="14.1" customHeight="1" x14ac:dyDescent="0.25">
      <c r="A17" s="50">
        <f t="shared" si="1"/>
        <v>46370</v>
      </c>
      <c r="B17" s="2"/>
      <c r="C17" s="2"/>
      <c r="D17" s="2"/>
      <c r="E17" s="2"/>
      <c r="F17" s="2"/>
      <c r="G17" s="2"/>
      <c r="H17" s="30">
        <f t="shared" si="0"/>
        <v>0</v>
      </c>
      <c r="I17" s="2"/>
      <c r="J17" s="2"/>
      <c r="K17" s="1"/>
      <c r="M17" s="57"/>
      <c r="N17" s="60"/>
      <c r="O17" s="42"/>
    </row>
    <row r="18" spans="1:15" ht="14.1" customHeight="1" x14ac:dyDescent="0.25">
      <c r="A18" s="50">
        <f t="shared" si="1"/>
        <v>46371</v>
      </c>
      <c r="B18" s="2"/>
      <c r="C18" s="2"/>
      <c r="D18" s="2"/>
      <c r="E18" s="2"/>
      <c r="F18" s="2"/>
      <c r="G18" s="2"/>
      <c r="H18" s="30">
        <f t="shared" si="0"/>
        <v>0</v>
      </c>
      <c r="I18" s="2"/>
      <c r="J18" s="2"/>
      <c r="K18" s="1"/>
      <c r="M18" s="57"/>
      <c r="N18" s="60"/>
      <c r="O18" s="42"/>
    </row>
    <row r="19" spans="1:15" ht="14.1" customHeight="1" x14ac:dyDescent="0.25">
      <c r="A19" s="50">
        <f t="shared" si="1"/>
        <v>46372</v>
      </c>
      <c r="B19" s="2"/>
      <c r="C19" s="2"/>
      <c r="D19" s="2"/>
      <c r="E19" s="2"/>
      <c r="F19" s="2"/>
      <c r="G19" s="2"/>
      <c r="H19" s="30">
        <f t="shared" si="0"/>
        <v>0</v>
      </c>
      <c r="I19" s="2"/>
      <c r="J19" s="2"/>
      <c r="K19" s="1"/>
      <c r="M19" s="57"/>
      <c r="N19" s="60"/>
      <c r="O19" s="42"/>
    </row>
    <row r="20" spans="1:15" ht="14.1" customHeight="1" x14ac:dyDescent="0.25">
      <c r="A20" s="50">
        <f t="shared" si="1"/>
        <v>46373</v>
      </c>
      <c r="B20" s="2"/>
      <c r="C20" s="2"/>
      <c r="D20" s="2"/>
      <c r="E20" s="2"/>
      <c r="F20" s="2"/>
      <c r="G20" s="2"/>
      <c r="H20" s="30">
        <f t="shared" si="0"/>
        <v>0</v>
      </c>
      <c r="I20" s="2"/>
      <c r="J20" s="2"/>
      <c r="K20" s="1"/>
      <c r="M20" s="57"/>
      <c r="N20" s="60"/>
      <c r="O20" s="42"/>
    </row>
    <row r="21" spans="1:15" ht="14.1" customHeight="1" x14ac:dyDescent="0.25">
      <c r="A21" s="50">
        <f t="shared" si="1"/>
        <v>46374</v>
      </c>
      <c r="B21" s="2"/>
      <c r="C21" s="2"/>
      <c r="D21" s="2"/>
      <c r="E21" s="2"/>
      <c r="F21" s="2"/>
      <c r="G21" s="2"/>
      <c r="H21" s="30">
        <f t="shared" si="0"/>
        <v>0</v>
      </c>
      <c r="I21" s="2"/>
      <c r="J21" s="2"/>
      <c r="K21" s="1"/>
      <c r="M21" s="57"/>
      <c r="N21" s="60"/>
      <c r="O21" s="42"/>
    </row>
    <row r="22" spans="1:15" ht="14.1" customHeight="1" thickBot="1" x14ac:dyDescent="0.3">
      <c r="A22" s="50">
        <f t="shared" si="1"/>
        <v>46375</v>
      </c>
      <c r="B22" s="2"/>
      <c r="C22" s="2"/>
      <c r="D22" s="2"/>
      <c r="E22" s="2"/>
      <c r="F22" s="2"/>
      <c r="G22" s="2"/>
      <c r="H22" s="30">
        <f t="shared" si="0"/>
        <v>0</v>
      </c>
      <c r="I22" s="2"/>
      <c r="J22" s="2"/>
      <c r="K22" s="17" t="s">
        <v>9</v>
      </c>
      <c r="L22" s="20"/>
      <c r="M22" s="57"/>
      <c r="N22" s="60"/>
      <c r="O22" s="42"/>
    </row>
    <row r="23" spans="1:15" ht="14.1" customHeight="1" thickBot="1" x14ac:dyDescent="0.3">
      <c r="A23" s="50">
        <f t="shared" si="1"/>
        <v>46376</v>
      </c>
      <c r="B23" s="2"/>
      <c r="C23" s="2"/>
      <c r="D23" s="2"/>
      <c r="E23" s="2"/>
      <c r="F23" s="2"/>
      <c r="G23" s="2"/>
      <c r="H23" s="30">
        <f t="shared" si="0"/>
        <v>0</v>
      </c>
      <c r="I23" s="2"/>
      <c r="J23" s="2"/>
      <c r="K23" s="17" t="s">
        <v>10</v>
      </c>
      <c r="L23" s="62" t="str">
        <f>IMSUB(E37,L22)</f>
        <v>175,25</v>
      </c>
      <c r="M23" s="57"/>
      <c r="N23" s="60"/>
      <c r="O23" s="42"/>
    </row>
    <row r="24" spans="1:15" ht="14.1" customHeight="1" thickBot="1" x14ac:dyDescent="0.3">
      <c r="A24" s="50">
        <f t="shared" si="1"/>
        <v>46377</v>
      </c>
      <c r="B24" s="2"/>
      <c r="C24" s="2"/>
      <c r="D24" s="2"/>
      <c r="E24" s="2"/>
      <c r="F24" s="2"/>
      <c r="G24" s="2"/>
      <c r="H24" s="30">
        <f t="shared" si="0"/>
        <v>0</v>
      </c>
      <c r="I24" s="2"/>
      <c r="J24" s="2"/>
      <c r="K24" s="17" t="s">
        <v>11</v>
      </c>
      <c r="L24" s="63"/>
      <c r="M24" s="57"/>
      <c r="N24" s="60"/>
      <c r="O24" s="42"/>
    </row>
    <row r="25" spans="1:15" ht="14.1" customHeight="1" x14ac:dyDescent="0.25">
      <c r="A25" s="50">
        <f t="shared" si="1"/>
        <v>46378</v>
      </c>
      <c r="B25" s="2"/>
      <c r="C25" s="2"/>
      <c r="D25" s="2"/>
      <c r="E25" s="2"/>
      <c r="F25" s="2"/>
      <c r="G25" s="2"/>
      <c r="H25" s="30">
        <f t="shared" si="0"/>
        <v>0</v>
      </c>
      <c r="I25" s="2"/>
      <c r="J25" s="2"/>
      <c r="K25" s="20" t="s">
        <v>12</v>
      </c>
      <c r="L25" s="64" t="str">
        <f>IMSUB(L23,L24)</f>
        <v>175,25</v>
      </c>
      <c r="M25" s="57"/>
      <c r="N25" s="60"/>
      <c r="O25" s="42"/>
    </row>
    <row r="26" spans="1:15" ht="14.1" customHeight="1" x14ac:dyDescent="0.25">
      <c r="A26" s="50">
        <f t="shared" si="1"/>
        <v>46379</v>
      </c>
      <c r="B26" s="2"/>
      <c r="C26" s="2"/>
      <c r="D26" s="2"/>
      <c r="E26" s="2"/>
      <c r="F26" s="2"/>
      <c r="G26" s="2"/>
      <c r="H26" s="30">
        <f t="shared" si="0"/>
        <v>0</v>
      </c>
      <c r="I26" s="2"/>
      <c r="J26" s="2"/>
      <c r="K26" s="23" t="s">
        <v>14</v>
      </c>
      <c r="L26" s="24">
        <f>L25+'2026'!B9</f>
        <v>175.25</v>
      </c>
      <c r="M26" s="57"/>
      <c r="N26" s="60"/>
      <c r="O26" s="42"/>
    </row>
    <row r="27" spans="1:15" ht="14.1" customHeight="1" x14ac:dyDescent="0.25">
      <c r="A27" s="50">
        <f t="shared" si="1"/>
        <v>46380</v>
      </c>
      <c r="B27" s="2"/>
      <c r="C27" s="2"/>
      <c r="D27" s="2"/>
      <c r="E27" s="2"/>
      <c r="F27" s="2"/>
      <c r="G27" s="2"/>
      <c r="H27" s="30">
        <f t="shared" si="0"/>
        <v>0</v>
      </c>
      <c r="I27" s="2"/>
      <c r="J27" s="2"/>
      <c r="K27" s="1"/>
      <c r="M27" s="57"/>
      <c r="N27" s="60"/>
      <c r="O27" s="42"/>
    </row>
    <row r="28" spans="1:15" ht="14.1" customHeight="1" x14ac:dyDescent="0.25">
      <c r="A28" s="50">
        <f t="shared" si="1"/>
        <v>46381</v>
      </c>
      <c r="B28" s="2"/>
      <c r="C28" s="2"/>
      <c r="D28" s="2"/>
      <c r="E28" s="2"/>
      <c r="F28" s="2"/>
      <c r="G28" s="2"/>
      <c r="H28" s="30">
        <f t="shared" si="0"/>
        <v>0</v>
      </c>
      <c r="I28" s="2"/>
      <c r="J28" s="2"/>
      <c r="K28" s="1"/>
      <c r="M28" s="57"/>
      <c r="N28" s="60"/>
      <c r="O28" s="42"/>
    </row>
    <row r="29" spans="1:15" ht="14.1" customHeight="1" x14ac:dyDescent="0.25">
      <c r="A29" s="50">
        <f t="shared" si="1"/>
        <v>46382</v>
      </c>
      <c r="B29" s="2"/>
      <c r="C29" s="2"/>
      <c r="D29" s="2"/>
      <c r="E29" s="2"/>
      <c r="F29" s="2"/>
      <c r="G29" s="2"/>
      <c r="H29" s="30">
        <f t="shared" si="0"/>
        <v>0</v>
      </c>
      <c r="I29" s="2"/>
      <c r="J29" s="2"/>
      <c r="K29" s="1"/>
      <c r="M29" s="57"/>
      <c r="N29" s="60"/>
      <c r="O29" s="42"/>
    </row>
    <row r="30" spans="1:15" ht="14.1" customHeight="1" x14ac:dyDescent="0.25">
      <c r="A30" s="50">
        <f t="shared" si="1"/>
        <v>46383</v>
      </c>
      <c r="B30" s="2"/>
      <c r="C30" s="2"/>
      <c r="D30" s="2"/>
      <c r="E30" s="2"/>
      <c r="F30" s="2"/>
      <c r="G30" s="2"/>
      <c r="H30" s="30">
        <f t="shared" si="0"/>
        <v>0</v>
      </c>
      <c r="I30" s="2"/>
      <c r="J30" s="2"/>
      <c r="K30" s="1"/>
      <c r="M30" s="57"/>
      <c r="N30" s="60"/>
      <c r="O30" s="42"/>
    </row>
    <row r="31" spans="1:15" ht="14.1" customHeight="1" thickBot="1" x14ac:dyDescent="0.3">
      <c r="A31" s="50">
        <f t="shared" si="1"/>
        <v>46384</v>
      </c>
      <c r="B31" s="2"/>
      <c r="C31" s="2"/>
      <c r="D31" s="2"/>
      <c r="E31" s="2"/>
      <c r="F31" s="2"/>
      <c r="G31" s="2"/>
      <c r="H31" s="30">
        <f t="shared" si="0"/>
        <v>0</v>
      </c>
      <c r="I31" s="2"/>
      <c r="J31" s="2"/>
      <c r="K31" s="12" t="s">
        <v>5</v>
      </c>
      <c r="M31" s="57"/>
      <c r="N31" s="60"/>
      <c r="O31" s="42"/>
    </row>
    <row r="32" spans="1:15" ht="14.1" customHeight="1" thickBot="1" x14ac:dyDescent="0.3">
      <c r="A32" s="50">
        <f t="shared" si="1"/>
        <v>46385</v>
      </c>
      <c r="B32" s="2"/>
      <c r="C32" s="2"/>
      <c r="D32" s="2"/>
      <c r="E32" s="2"/>
      <c r="F32" s="2"/>
      <c r="G32" s="2"/>
      <c r="H32" s="30">
        <f t="shared" si="0"/>
        <v>0</v>
      </c>
      <c r="I32" s="2"/>
      <c r="J32" s="2"/>
      <c r="K32" s="13">
        <f>Urlaub</f>
        <v>30</v>
      </c>
      <c r="M32" s="57"/>
      <c r="N32" s="60"/>
      <c r="O32" s="42"/>
    </row>
    <row r="33" spans="1:15" ht="14.1" customHeight="1" x14ac:dyDescent="0.25">
      <c r="A33" s="50">
        <f t="shared" si="1"/>
        <v>46386</v>
      </c>
      <c r="B33" s="2"/>
      <c r="C33" s="2"/>
      <c r="D33" s="2"/>
      <c r="E33" s="2"/>
      <c r="F33" s="2"/>
      <c r="G33" s="2"/>
      <c r="H33" s="30">
        <f t="shared" si="0"/>
        <v>0</v>
      </c>
      <c r="I33" s="2"/>
      <c r="J33" s="2"/>
      <c r="K33" s="14"/>
      <c r="M33" s="57"/>
      <c r="N33" s="60"/>
      <c r="O33" s="42"/>
    </row>
    <row r="34" spans="1:15" ht="14.1" customHeight="1" thickBot="1" x14ac:dyDescent="0.3">
      <c r="A34" s="50">
        <f t="shared" si="1"/>
        <v>46387</v>
      </c>
      <c r="B34" s="24"/>
      <c r="C34" s="2"/>
      <c r="D34" s="2"/>
      <c r="E34" s="25"/>
      <c r="F34" s="25"/>
      <c r="G34" s="25"/>
      <c r="H34" s="30">
        <f t="shared" si="0"/>
        <v>0</v>
      </c>
      <c r="I34" s="5"/>
      <c r="J34" s="5"/>
      <c r="K34" s="12" t="s">
        <v>4</v>
      </c>
      <c r="M34" s="57"/>
      <c r="N34" s="60"/>
      <c r="O34" s="42"/>
    </row>
    <row r="35" spans="1:15" ht="14.1" customHeight="1" thickBot="1" x14ac:dyDescent="0.3">
      <c r="A35" s="49"/>
      <c r="B35" s="31"/>
      <c r="C35" s="32">
        <f>C4+C5+C6+C7+C8+C9+C10+C11+C12+C13+C14+C15+C16+C17+C18+C19+C20+C21+C22+C23+C24+C25+C26+C27+C28+C29+C30+C31+C32+C33+C34</f>
        <v>0</v>
      </c>
      <c r="D35" s="32">
        <f>D4+D5+D6+D7+D8+D9+D10+D11+D12+D13+D14+D15+D16+D17+D18+D19+D20+D21+D22+D23+D24+D25+D26+D27+D28+D29+D30+D31+D32+D33+D34</f>
        <v>0</v>
      </c>
      <c r="E35" s="32">
        <f>E4+E5+E6+E7+E8+E9+E10+E11+E12+E13+E14+E15+E16+E17+E18+E19+E20+E21+E22+E23+E24+E25+E26+E27+E28+E29+E30+E31+E32+E33+E34</f>
        <v>0</v>
      </c>
      <c r="F35" s="32">
        <f>SUM(F4:F34)</f>
        <v>0</v>
      </c>
      <c r="G35" s="32">
        <f>SUM(G4:G34)</f>
        <v>0</v>
      </c>
      <c r="H35" s="33">
        <f>SUM(H4:H34)</f>
        <v>0</v>
      </c>
      <c r="I35" s="16">
        <f>SUM(I4:I34)</f>
        <v>0</v>
      </c>
      <c r="J35" s="15">
        <f>SUM(J4:J34)</f>
        <v>0</v>
      </c>
      <c r="K35" s="13">
        <f>Resturlaub</f>
        <v>22</v>
      </c>
      <c r="N35" s="60"/>
      <c r="O35" s="42"/>
    </row>
    <row r="36" spans="1:15" ht="14.1" customHeight="1" thickBot="1" x14ac:dyDescent="0.3">
      <c r="N36" s="60"/>
      <c r="O36" s="42"/>
    </row>
    <row r="37" spans="1:15" ht="15.75" thickBot="1" x14ac:dyDescent="0.3">
      <c r="E37" s="15">
        <f>E2+H35</f>
        <v>175.25</v>
      </c>
      <c r="F37" s="27"/>
      <c r="G37" s="27"/>
      <c r="H37" s="27"/>
      <c r="N37" s="60"/>
      <c r="O37" s="42"/>
    </row>
    <row r="38" spans="1:15" x14ac:dyDescent="0.25">
      <c r="N38" s="60"/>
      <c r="O38" s="42"/>
    </row>
    <row r="39" spans="1:15" x14ac:dyDescent="0.25">
      <c r="N39" s="60"/>
      <c r="O39" s="42"/>
    </row>
    <row r="40" spans="1:15" x14ac:dyDescent="0.25">
      <c r="N40" s="60"/>
      <c r="O40" s="42"/>
    </row>
  </sheetData>
  <phoneticPr fontId="3" type="noConversion"/>
  <conditionalFormatting sqref="A4:A34">
    <cfRule type="expression" dxfId="2" priority="1">
      <formula>WEEKDAY(A4,2)=7</formula>
    </cfRule>
    <cfRule type="expression" dxfId="1" priority="2">
      <formula>WEEKDAY(A4,2)=6</formula>
    </cfRule>
  </conditionalFormatting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737618D-8E9F-4AD0-8FA3-205DFE0E6A01}">
            <xm:f>_xlfn.IFNA(VLOOKUP(A4,Feiertage!$A$4:$A$16,1,FALSE),FALSE)</xm:f>
            <x14:dxf>
              <font>
                <color rgb="FFFF0000"/>
              </font>
              <fill>
                <patternFill>
                  <bgColor rgb="FFFFC000"/>
                </patternFill>
              </fill>
            </x14:dxf>
          </x14:cfRule>
          <xm:sqref>A4:A34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4" sqref="B4"/>
    </sheetView>
  </sheetViews>
  <sheetFormatPr baseColWidth="10" defaultRowHeight="15" x14ac:dyDescent="0.25"/>
  <cols>
    <col min="1" max="1" width="19.5703125" customWidth="1"/>
    <col min="2" max="2" width="24.140625" customWidth="1"/>
  </cols>
  <sheetData>
    <row r="1" spans="1:2" ht="26.25" x14ac:dyDescent="0.4">
      <c r="A1" s="43" t="s">
        <v>34</v>
      </c>
    </row>
    <row r="3" spans="1:2" x14ac:dyDescent="0.25">
      <c r="A3" s="44" t="s">
        <v>18</v>
      </c>
      <c r="B3" s="45" t="s">
        <v>19</v>
      </c>
    </row>
    <row r="4" spans="1:2" x14ac:dyDescent="0.25">
      <c r="A4" s="46">
        <v>46023</v>
      </c>
      <c r="B4" s="47" t="s">
        <v>20</v>
      </c>
    </row>
    <row r="5" spans="1:2" x14ac:dyDescent="0.25">
      <c r="A5" s="46">
        <v>46028</v>
      </c>
      <c r="B5" s="47" t="s">
        <v>21</v>
      </c>
    </row>
    <row r="6" spans="1:2" x14ac:dyDescent="0.25">
      <c r="A6" s="46">
        <v>46115</v>
      </c>
      <c r="B6" s="47" t="s">
        <v>22</v>
      </c>
    </row>
    <row r="7" spans="1:2" x14ac:dyDescent="0.25">
      <c r="A7" s="46">
        <v>46117</v>
      </c>
      <c r="B7" s="47" t="s">
        <v>23</v>
      </c>
    </row>
    <row r="8" spans="1:2" x14ac:dyDescent="0.25">
      <c r="A8" s="46">
        <v>46118</v>
      </c>
      <c r="B8" s="47" t="s">
        <v>24</v>
      </c>
    </row>
    <row r="9" spans="1:2" x14ac:dyDescent="0.25">
      <c r="A9" s="46">
        <v>46143</v>
      </c>
      <c r="B9" s="47" t="s">
        <v>25</v>
      </c>
    </row>
    <row r="10" spans="1:2" x14ac:dyDescent="0.25">
      <c r="A10" s="46">
        <v>46156</v>
      </c>
      <c r="B10" s="47" t="s">
        <v>26</v>
      </c>
    </row>
    <row r="11" spans="1:2" x14ac:dyDescent="0.25">
      <c r="A11" s="46">
        <v>46167</v>
      </c>
      <c r="B11" s="47" t="s">
        <v>27</v>
      </c>
    </row>
    <row r="12" spans="1:2" x14ac:dyDescent="0.25">
      <c r="A12" s="46">
        <v>46177</v>
      </c>
      <c r="B12" s="47" t="s">
        <v>28</v>
      </c>
    </row>
    <row r="13" spans="1:2" x14ac:dyDescent="0.25">
      <c r="A13" s="46">
        <v>46298</v>
      </c>
      <c r="B13" s="47" t="s">
        <v>29</v>
      </c>
    </row>
    <row r="14" spans="1:2" x14ac:dyDescent="0.25">
      <c r="A14" s="46">
        <v>46327</v>
      </c>
      <c r="B14" s="47" t="s">
        <v>30</v>
      </c>
    </row>
    <row r="15" spans="1:2" x14ac:dyDescent="0.25">
      <c r="A15" s="46">
        <v>46381</v>
      </c>
      <c r="B15" s="47" t="s">
        <v>31</v>
      </c>
    </row>
    <row r="16" spans="1:2" x14ac:dyDescent="0.25">
      <c r="A16" s="46">
        <v>46382</v>
      </c>
      <c r="B16" s="47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14</vt:i4>
      </vt:variant>
      <vt:variant>
        <vt:lpstr>Benannte Bereiche</vt:lpstr>
      </vt:variant>
      <vt:variant>
        <vt:i4>2</vt:i4>
      </vt:variant>
    </vt:vector>
  </HeadingPairs>
  <TitlesOfParts>
    <vt:vector size="16" baseType="lpstr">
      <vt:lpstr>2026</vt:lpstr>
      <vt:lpstr>Januar 2026</vt:lpstr>
      <vt:lpstr>Februar 2026</vt:lpstr>
      <vt:lpstr>März 2026</vt:lpstr>
      <vt:lpstr>April 2026</vt:lpstr>
      <vt:lpstr>Mai 2026</vt:lpstr>
      <vt:lpstr>Juni 2026</vt:lpstr>
      <vt:lpstr>Juli 2026</vt:lpstr>
      <vt:lpstr>August 2026</vt:lpstr>
      <vt:lpstr>September 2026</vt:lpstr>
      <vt:lpstr>Oktober 2026</vt:lpstr>
      <vt:lpstr>November 2026</vt:lpstr>
      <vt:lpstr>Dezember 2026</vt:lpstr>
      <vt:lpstr>Feiertage</vt:lpstr>
      <vt:lpstr>Resturlaub</vt:lpstr>
      <vt:lpstr>Urlaub</vt:lpstr>
    </vt:vector>
  </TitlesOfParts>
  <Company>Schwarzwaldmilch Gruppe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Vögtle Tobias</dc:creator>
  <cp:lastModifiedBy>Klaus</cp:lastModifiedBy>
  <cp:lastPrinted>2017-01-28T06:41:58Z</cp:lastPrinted>
  <dcterms:created xsi:type="dcterms:W3CDTF">2014-09-17T12:44:38Z</dcterms:created>
  <dcterms:modified xsi:type="dcterms:W3CDTF">2026-03-30T16:51:08Z</dcterms:modified>
</cp:coreProperties>
</file>
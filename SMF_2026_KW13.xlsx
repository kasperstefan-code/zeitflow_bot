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Firma Kroll GmbH\Kunden\Schwarzwaldmilch GmbH Freiburg 2026\"/>
    </mc:Choice>
  </mc:AlternateContent>
  <bookViews>
    <workbookView xWindow="120" yWindow="135" windowWidth="15180" windowHeight="7815"/>
  </bookViews>
  <sheets>
    <sheet name="2015" sheetId="13" r:id="rId1"/>
  </sheets>
  <definedNames>
    <definedName name="Resturlaub">'2015'!$B$6</definedName>
    <definedName name="Urlaub">'2015'!$B$4</definedName>
  </definedNames>
  <calcPr calcId="152511"/>
</workbook>
</file>

<file path=xl/calcChain.xml><?xml version="1.0" encoding="utf-8"?>
<calcChain xmlns="http://schemas.openxmlformats.org/spreadsheetml/2006/main">
  <c r="G18" i="13" l="1"/>
  <c r="G23" i="13"/>
  <c r="A41" i="13" l="1"/>
  <c r="A36" i="13"/>
  <c r="A31" i="13"/>
  <c r="A26" i="13"/>
  <c r="A21" i="13"/>
  <c r="A16" i="13"/>
  <c r="A11" i="13"/>
  <c r="G12" i="13" l="1"/>
  <c r="G13" i="13"/>
  <c r="G43" i="13" l="1"/>
</calcChain>
</file>

<file path=xl/sharedStrings.xml><?xml version="1.0" encoding="utf-8"?>
<sst xmlns="http://schemas.openxmlformats.org/spreadsheetml/2006/main" count="63" uniqueCount="42">
  <si>
    <t>Montage-Stundennachweis</t>
  </si>
  <si>
    <t>Kunde:</t>
  </si>
  <si>
    <t>Ausgeführte Arbeiten</t>
  </si>
  <si>
    <t>Std.</t>
  </si>
  <si>
    <t>Gesamt-</t>
  </si>
  <si>
    <t>den:</t>
  </si>
  <si>
    <t>Unterschrift Kunde:</t>
  </si>
  <si>
    <t>Mo.</t>
  </si>
  <si>
    <t>Di.</t>
  </si>
  <si>
    <t>Mi.</t>
  </si>
  <si>
    <t>Do.</t>
  </si>
  <si>
    <t>Fr.</t>
  </si>
  <si>
    <t>So.</t>
  </si>
  <si>
    <t>Sa.</t>
  </si>
  <si>
    <t>KW</t>
  </si>
  <si>
    <t>Projekt:</t>
  </si>
  <si>
    <t>Monteur</t>
  </si>
  <si>
    <t>Normal-Std.</t>
  </si>
  <si>
    <t>Pause</t>
  </si>
  <si>
    <t>Beginn</t>
  </si>
  <si>
    <t>Ende</t>
  </si>
  <si>
    <t>Schwarzwaldmilch GmbH Freiburg</t>
  </si>
  <si>
    <t>S. Tyschenko</t>
  </si>
  <si>
    <t>A. Novikau</t>
  </si>
  <si>
    <t>Verbrauchsmaterial:</t>
  </si>
  <si>
    <t>Unterschrift Auftragnehmer:</t>
  </si>
  <si>
    <t>K.Kroll</t>
  </si>
  <si>
    <t>Rückbauarbeiten Leitungsdemontagen und Umfeldbereinigung von Altlasten</t>
  </si>
  <si>
    <t>S.Ismailov.</t>
  </si>
  <si>
    <t>A.Capanidi</t>
  </si>
  <si>
    <t>O.Malchukov</t>
  </si>
  <si>
    <t>Dämmung Eiswasserverteiler  (auftrag 88962)</t>
  </si>
  <si>
    <t>Einbau pH Armatur in Abwassertankanlage</t>
  </si>
  <si>
    <t>Umschluss Sterilluft L200 (auftrag 89093)</t>
  </si>
  <si>
    <t>Reparatur CIP Vorlaufleitung bei PS-120 (auftrag 90063)</t>
  </si>
  <si>
    <t>Restarbeiten Erweiterung Mischanlage Frischkäserei</t>
  </si>
  <si>
    <t>Sterilluft L200 (auftrag 89093)</t>
  </si>
  <si>
    <t>Reparatur Ventilgehäuse V8315 bei Tank 27 (Werkstattauftrag 9055)</t>
  </si>
  <si>
    <t>Rückbauarbeiten Leitungsdemontagen</t>
  </si>
  <si>
    <t>4xRammschutz Fördertechnik Westfalia EG</t>
  </si>
  <si>
    <t>4XRammschutz Fördertechnik Westfalia EG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</si>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</sst>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1"/>
      <name val="Comic Sans MS"/>
      <family val="4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" xfId="0" applyBorder="1"/>
    <xf numFmtId="0" fontId="0" fillId="0" borderId="3" xfId="0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5" xfId="0" applyFill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8" xfId="0" applyBorder="1"/>
    <xf numFmtId="0" fontId="0" fillId="0" borderId="8" xfId="0" applyFill="1" applyBorder="1" applyAlignment="1">
      <alignment horizontal="left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7" xfId="0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164" fontId="0" fillId="0" borderId="4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3" xfId="0" applyFont="1" applyFill="1" applyBorder="1" applyAlignment="1">
      <alignment horizontal="center"/>
    </xf>
    <xf numFmtId="0" fontId="0" fillId="0" borderId="8" xfId="0" applyFont="1" applyBorder="1" applyAlignment="1">
      <alignment horizontal="left"/>
    </xf>
    <xf numFmtId="0" fontId="0" fillId="0" borderId="0" xfId="0" applyFill="1" applyBorder="1"/>
    <xf numFmtId="0" fontId="3" fillId="0" borderId="8" xfId="0" applyFont="1" applyBorder="1"/>
    <xf numFmtId="0" fontId="0" fillId="0" borderId="1" xfId="0" applyBorder="1" applyAlignment="1"/>
    <xf numFmtId="0" fontId="1" fillId="0" borderId="5" xfId="0" applyFont="1" applyFill="1" applyBorder="1" applyAlignment="1"/>
    <xf numFmtId="0" fontId="0" fillId="0" borderId="2" xfId="0" applyBorder="1" applyAlignment="1"/>
    <xf numFmtId="0" fontId="0" fillId="0" borderId="2" xfId="0" applyFont="1" applyBorder="1" applyAlignment="1">
      <alignment vertical="top" wrapText="1"/>
    </xf>
    <xf numFmtId="20" fontId="0" fillId="0" borderId="1" xfId="0" applyNumberFormat="1" applyBorder="1" applyAlignment="1">
      <alignment horizontal="left" vertical="top"/>
    </xf>
    <xf numFmtId="20" fontId="0" fillId="0" borderId="2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" xfId="0" applyFill="1" applyBorder="1"/>
    <xf numFmtId="20" fontId="0" fillId="0" borderId="0" xfId="0" applyNumberFormat="1" applyAlignment="1">
      <alignment horizontal="left" vertical="center"/>
    </xf>
    <xf numFmtId="21" fontId="0" fillId="0" borderId="2" xfId="0" applyNumberFormat="1" applyBorder="1" applyAlignment="1">
      <alignment horizontal="left" vertical="top"/>
    </xf>
    <xf numFmtId="21" fontId="0" fillId="0" borderId="1" xfId="0" applyNumberFormat="1" applyBorder="1" applyAlignment="1">
      <alignment horizontal="left" vertical="top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12700</xdr:rowOff>
    </xdr:from>
    <xdr:ext cx="5219700" cy="718466"/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406400" y="12700"/>
          <a:ext cx="5219700" cy="718466"/>
        </a:xfrm>
        <a:prstGeom prst="rect">
          <a:avLst/>
        </a:prstGeom>
        <a:noFill/>
      </xdr:spPr>
      <xdr:txBody>
        <a:bodyPr wrap="square" lIns="36000" tIns="45720" rIns="91440" bIns="45720">
          <a:spAutoFit/>
        </a:bodyPr>
        <a:lstStyle/>
        <a:p>
          <a:pPr algn="ctr"/>
          <a:r>
            <a:rPr lang="de-DE" sz="40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gradFill>
                <a:gsLst>
                  <a:gs pos="0">
                    <a:srgbClr val="FFFFFF">
                      <a:tint val="40000"/>
                      <a:satMod val="250000"/>
                    </a:srgbClr>
                  </a:gs>
                  <a:gs pos="9000">
                    <a:srgbClr val="FFFFFF">
                      <a:tint val="52000"/>
                      <a:satMod val="300000"/>
                    </a:srgbClr>
                  </a:gs>
                  <a:gs pos="50000">
                    <a:srgbClr val="FFFFFF">
                      <a:shade val="20000"/>
                      <a:satMod val="300000"/>
                    </a:srgbClr>
                  </a:gs>
                  <a:gs pos="79000">
                    <a:srgbClr val="FFFFFF">
                      <a:tint val="52000"/>
                      <a:satMod val="300000"/>
                    </a:srgbClr>
                  </a:gs>
                  <a:gs pos="100000">
                    <a:srgbClr val="FFFFFF">
                      <a:tint val="40000"/>
                      <a:satMod val="250000"/>
                    </a:srgbClr>
                  </a:gs>
                </a:gsLst>
                <a:lin ang="5400000"/>
              </a:gradFill>
              <a:effectLst/>
            </a:rPr>
            <a:t>Kroll  </a:t>
          </a:r>
          <a:r>
            <a:rPr lang="de-DE" sz="4000" b="1" cap="none" spc="0" baseline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gradFill>
                <a:gsLst>
                  <a:gs pos="0">
                    <a:srgbClr val="FFFFFF">
                      <a:tint val="40000"/>
                      <a:satMod val="250000"/>
                    </a:srgbClr>
                  </a:gs>
                  <a:gs pos="9000">
                    <a:srgbClr val="FFFFFF">
                      <a:tint val="52000"/>
                      <a:satMod val="300000"/>
                    </a:srgbClr>
                  </a:gs>
                  <a:gs pos="50000">
                    <a:srgbClr val="FFFFFF">
                      <a:shade val="20000"/>
                      <a:satMod val="300000"/>
                    </a:srgbClr>
                  </a:gs>
                  <a:gs pos="79000">
                    <a:srgbClr val="FFFFFF">
                      <a:tint val="52000"/>
                      <a:satMod val="300000"/>
                    </a:srgbClr>
                  </a:gs>
                  <a:gs pos="100000">
                    <a:srgbClr val="FFFFFF">
                      <a:tint val="40000"/>
                      <a:satMod val="250000"/>
                    </a:srgbClr>
                  </a:gs>
                </a:gsLst>
                <a:lin ang="5400000"/>
              </a:gradFill>
              <a:effectLst/>
            </a:rPr>
            <a:t>GmbH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view="pageLayout" topLeftCell="A7" zoomScaleNormal="75" workbookViewId="0">
      <selection activeCell="E40" sqref="E40"/>
    </sheetView>
  </sheetViews>
  <sheetFormatPr baseColWidth="10" defaultRowHeight="15" x14ac:dyDescent="0.25"/>
  <cols>
    <col min="1" max="1" width="7.28515625" customWidth="1"/>
    <col min="2" max="2" width="11.28515625" customWidth="1"/>
    <col min="3" max="3" width="39.42578125" customWidth="1"/>
    <col min="4" max="4" width="8.140625" customWidth="1"/>
    <col min="5" max="6" width="8.140625" bestFit="1" customWidth="1"/>
    <col min="7" max="7" width="7" customWidth="1"/>
    <col min="8" max="8" width="7.28515625" customWidth="1"/>
  </cols>
  <sheetData>
    <row r="1" spans="1:7" ht="56.25" customHeight="1" x14ac:dyDescent="0.25">
      <c r="A1" s="2"/>
    </row>
    <row r="2" spans="1:7" ht="20.25" customHeight="1" x14ac:dyDescent="0.35">
      <c r="B2" s="16" t="s">
        <v>0</v>
      </c>
      <c r="C2" s="16"/>
      <c r="D2" s="3"/>
      <c r="E2" s="3"/>
    </row>
    <row r="3" spans="1:7" ht="14.1" customHeight="1" x14ac:dyDescent="0.25">
      <c r="A3" s="3"/>
      <c r="B3" s="12" t="s">
        <v>1</v>
      </c>
      <c r="C3" s="12" t="s">
        <v>21</v>
      </c>
      <c r="D3" s="13"/>
      <c r="E3" s="3"/>
    </row>
    <row r="4" spans="1:7" ht="14.1" customHeight="1" x14ac:dyDescent="0.25">
      <c r="A4" s="3"/>
      <c r="B4" s="15"/>
      <c r="C4" s="15"/>
      <c r="D4" s="14"/>
      <c r="E4" s="3"/>
    </row>
    <row r="5" spans="1:7" ht="14.1" customHeight="1" x14ac:dyDescent="0.25">
      <c r="B5" s="12" t="s">
        <v>15</v>
      </c>
      <c r="C5" s="12"/>
      <c r="D5" s="24"/>
      <c r="E5" s="3"/>
    </row>
    <row r="6" spans="1:7" ht="14.1" customHeight="1" x14ac:dyDescent="0.25">
      <c r="A6" s="22">
        <v>2026</v>
      </c>
      <c r="B6" s="3"/>
      <c r="C6" s="3"/>
      <c r="D6" s="3"/>
      <c r="E6" s="3"/>
    </row>
    <row r="7" spans="1:7" ht="13.5" customHeight="1" x14ac:dyDescent="0.25">
      <c r="A7" s="5" t="s">
        <v>14</v>
      </c>
      <c r="B7" s="23" t="s">
        <v>16</v>
      </c>
      <c r="C7" s="17" t="s">
        <v>2</v>
      </c>
      <c r="D7" s="38" t="s">
        <v>19</v>
      </c>
      <c r="E7" s="43" t="s">
        <v>18</v>
      </c>
      <c r="F7" s="38" t="s">
        <v>20</v>
      </c>
      <c r="G7" s="18" t="s">
        <v>4</v>
      </c>
    </row>
    <row r="8" spans="1:7" ht="13.5" customHeight="1" thickBot="1" x14ac:dyDescent="0.3">
      <c r="A8" s="8">
        <v>13</v>
      </c>
      <c r="B8" s="28"/>
      <c r="C8" s="19"/>
      <c r="D8" s="39"/>
      <c r="E8" s="44"/>
      <c r="F8" s="39"/>
      <c r="G8" s="20" t="s">
        <v>3</v>
      </c>
    </row>
    <row r="9" spans="1:7" ht="13.5" customHeight="1" x14ac:dyDescent="0.25">
      <c r="A9" s="9" t="s">
        <v>7</v>
      </c>
      <c r="B9" s="29"/>
      <c r="C9" s="45" t="s">
        <v>41</v>
      </c>
      <c r="D9" s="36"/>
      <c r="E9" s="36"/>
      <c r="F9" s="32"/>
      <c r="G9" s="4">
        <v>0</v>
      </c>
    </row>
    <row r="10" spans="1:7" ht="13.5" customHeight="1" x14ac:dyDescent="0.25">
      <c r="A10" s="10" t="s">
        <v>5</v>
      </c>
      <c r="B10" s="27"/>
      <c r="C10" s="46"/>
      <c r="D10" s="37"/>
      <c r="E10" s="37"/>
      <c r="F10" s="32"/>
      <c r="G10" s="4">
        <v>0</v>
      </c>
    </row>
    <row r="11" spans="1:7" ht="13.5" customHeight="1" x14ac:dyDescent="0.25">
      <c r="A11" s="21">
        <f>DATE(A6,1,4)-WEEKDAY(DATE(A6,1,4),2)+(A8-1)*7+1</f>
        <v>46104</v>
      </c>
      <c r="B11" s="27"/>
      <c r="C11" s="46"/>
      <c r="D11" s="37"/>
      <c r="E11" s="37"/>
      <c r="F11" s="37"/>
      <c r="G11" s="4">
        <v>0</v>
      </c>
    </row>
    <row r="12" spans="1:7" ht="13.5" customHeight="1" x14ac:dyDescent="0.25">
      <c r="A12" s="10"/>
      <c r="B12" s="27"/>
      <c r="C12" s="46"/>
      <c r="D12" s="33"/>
      <c r="E12" s="33"/>
      <c r="F12" s="33"/>
      <c r="G12" s="4">
        <f t="shared" ref="G12:G23" si="0">SUM(D12:F12)</f>
        <v>0</v>
      </c>
    </row>
    <row r="13" spans="1:7" ht="13.5" customHeight="1" x14ac:dyDescent="0.25">
      <c r="A13" s="6"/>
      <c r="B13" s="27"/>
      <c r="C13" s="47"/>
      <c r="D13" s="33"/>
      <c r="E13" s="33"/>
      <c r="F13" s="33"/>
      <c r="G13" s="4">
        <f t="shared" si="0"/>
        <v>0</v>
      </c>
    </row>
    <row r="14" spans="1:7" ht="13.5" customHeight="1" x14ac:dyDescent="0.25">
      <c r="A14" s="7" t="s">
        <v>8</v>
      </c>
      <c r="B14" s="27" t="s">
        <v>22</v>
      </c>
      <c r="C14" s="48" t="s">
        <v>36</v>
      </c>
      <c r="D14" s="31">
        <v>0.27083333333333331</v>
      </c>
      <c r="E14" s="31">
        <v>4.1666666666666664E-2</v>
      </c>
      <c r="F14" s="31">
        <v>0.72916666666666663</v>
      </c>
      <c r="G14" s="4">
        <v>10</v>
      </c>
    </row>
    <row r="15" spans="1:7" ht="13.5" customHeight="1" x14ac:dyDescent="0.25">
      <c r="A15" s="10" t="s">
        <v>5</v>
      </c>
      <c r="B15" s="27" t="s">
        <v>23</v>
      </c>
      <c r="C15" s="46"/>
      <c r="D15" s="31">
        <v>0.27083333333333331</v>
      </c>
      <c r="E15" s="31">
        <v>4.1666666666666664E-2</v>
      </c>
      <c r="F15" s="31">
        <v>0.72916666666666663</v>
      </c>
      <c r="G15" s="4">
        <v>10</v>
      </c>
    </row>
    <row r="16" spans="1:7" ht="13.5" customHeight="1" x14ac:dyDescent="0.25">
      <c r="A16" s="21">
        <f>DATE(A6,1,4)-WEEKDAY(DATE(A6,1,4),2)+(A8-1)*7+2</f>
        <v>46105</v>
      </c>
      <c r="B16" s="27" t="s">
        <v>26</v>
      </c>
      <c r="C16" s="46"/>
      <c r="D16" s="31">
        <v>0.39583333333333331</v>
      </c>
      <c r="E16" s="31">
        <v>0</v>
      </c>
      <c r="F16" s="31">
        <v>0.47916666666666669</v>
      </c>
      <c r="G16" s="4">
        <v>2</v>
      </c>
    </row>
    <row r="17" spans="1:7" ht="13.5" customHeight="1" x14ac:dyDescent="0.25">
      <c r="A17" s="10"/>
      <c r="B17" s="27"/>
      <c r="C17" s="46"/>
      <c r="D17" s="37"/>
      <c r="E17" s="31"/>
      <c r="F17" s="31"/>
      <c r="G17" s="4">
        <v>0</v>
      </c>
    </row>
    <row r="18" spans="1:7" ht="13.5" customHeight="1" x14ac:dyDescent="0.25">
      <c r="A18" s="6"/>
      <c r="B18" s="27"/>
      <c r="C18" s="47"/>
      <c r="D18" s="33"/>
      <c r="E18" s="31"/>
      <c r="F18" s="31"/>
      <c r="G18" s="4">
        <f t="shared" si="0"/>
        <v>0</v>
      </c>
    </row>
    <row r="19" spans="1:7" ht="13.5" customHeight="1" x14ac:dyDescent="0.25">
      <c r="A19" s="7" t="s">
        <v>9</v>
      </c>
      <c r="B19" s="27" t="s">
        <v>22</v>
      </c>
      <c r="C19" s="50" t="s">
        <v>27</v>
      </c>
      <c r="D19" s="31">
        <v>0.2638888888888889</v>
      </c>
      <c r="E19" s="31">
        <v>4.1666666666666664E-2</v>
      </c>
      <c r="F19" s="31">
        <v>0.72222222222222221</v>
      </c>
      <c r="G19" s="4">
        <v>10</v>
      </c>
    </row>
    <row r="20" spans="1:7" ht="13.5" customHeight="1" x14ac:dyDescent="0.25">
      <c r="A20" s="10" t="s">
        <v>5</v>
      </c>
      <c r="B20" s="27" t="s">
        <v>23</v>
      </c>
      <c r="C20" s="46"/>
      <c r="D20" s="31">
        <v>0.2638888888888889</v>
      </c>
      <c r="E20" s="31">
        <v>4.1666666666666664E-2</v>
      </c>
      <c r="F20" s="31">
        <v>0.72222222222222221</v>
      </c>
      <c r="G20" s="4">
        <v>10</v>
      </c>
    </row>
    <row r="21" spans="1:7" ht="13.5" customHeight="1" x14ac:dyDescent="0.25">
      <c r="A21" s="21">
        <f>DATE(A6,1,4)-WEEKDAY(DATE(A6,1,4),2)+(A8-1)*7+3</f>
        <v>46106</v>
      </c>
      <c r="B21" s="27" t="s">
        <v>26</v>
      </c>
      <c r="C21" s="46"/>
      <c r="D21" s="31">
        <v>0.2638888888888889</v>
      </c>
      <c r="E21" s="31">
        <v>4.1666666666666664E-2</v>
      </c>
      <c r="F21" s="31">
        <v>0.72222222222222221</v>
      </c>
      <c r="G21" s="4">
        <v>10</v>
      </c>
    </row>
    <row r="22" spans="1:7" ht="13.5" customHeight="1" x14ac:dyDescent="0.25">
      <c r="A22" s="10"/>
      <c r="B22" s="27"/>
      <c r="C22" s="46"/>
      <c r="D22" s="31"/>
      <c r="E22" s="31"/>
      <c r="F22" s="31"/>
      <c r="G22" s="4">
        <v>0</v>
      </c>
    </row>
    <row r="23" spans="1:7" ht="13.5" customHeight="1" x14ac:dyDescent="0.25">
      <c r="A23" s="6"/>
      <c r="B23" s="27"/>
      <c r="C23" s="47"/>
      <c r="D23" s="33"/>
      <c r="E23" s="31"/>
      <c r="F23" s="31"/>
      <c r="G23" s="4">
        <f t="shared" si="0"/>
        <v>0</v>
      </c>
    </row>
    <row r="24" spans="1:7" ht="13.5" customHeight="1" x14ac:dyDescent="0.25">
      <c r="A24" s="7" t="s">
        <v>10</v>
      </c>
      <c r="B24" s="27" t="s">
        <v>22</v>
      </c>
      <c r="C24" s="48" t="s">
        <v>27</v>
      </c>
      <c r="D24" s="31">
        <v>0.27083333333333331</v>
      </c>
      <c r="E24" s="31">
        <v>4.1666666666666664E-2</v>
      </c>
      <c r="F24" s="31">
        <v>0.72916666666666663</v>
      </c>
      <c r="G24" s="4">
        <v>10</v>
      </c>
    </row>
    <row r="25" spans="1:7" ht="13.5" customHeight="1" x14ac:dyDescent="0.25">
      <c r="A25" s="10" t="s">
        <v>5</v>
      </c>
      <c r="B25" s="27" t="s">
        <v>23</v>
      </c>
      <c r="C25" s="46"/>
      <c r="D25" s="31">
        <v>0.27083333333333331</v>
      </c>
      <c r="E25" s="31">
        <v>4.1666666666666664E-2</v>
      </c>
      <c r="F25" s="31">
        <v>0.72916666666666663</v>
      </c>
      <c r="G25" s="4">
        <v>10</v>
      </c>
    </row>
    <row r="26" spans="1:7" ht="13.5" customHeight="1" x14ac:dyDescent="0.25">
      <c r="A26" s="21">
        <f>DATE(A6,1,4)-WEEKDAY(DATE(A6,1,4),2)+(A8-1)*7+4</f>
        <v>46107</v>
      </c>
      <c r="B26" s="27" t="s">
        <v>28</v>
      </c>
      <c r="C26" s="55" t="s">
        <v>39</v>
      </c>
      <c r="D26" s="31">
        <v>0.29166666666666669</v>
      </c>
      <c r="E26" s="31">
        <v>4.1666666666666664E-2</v>
      </c>
      <c r="F26" s="31">
        <v>0.66666666666666663</v>
      </c>
      <c r="G26" s="4">
        <v>8</v>
      </c>
    </row>
    <row r="27" spans="1:7" ht="13.5" customHeight="1" x14ac:dyDescent="0.25">
      <c r="A27" s="10"/>
      <c r="B27" s="27"/>
      <c r="C27" s="55"/>
      <c r="D27" s="31"/>
      <c r="E27" s="31"/>
      <c r="F27" s="31"/>
      <c r="G27" s="4">
        <v>0</v>
      </c>
    </row>
    <row r="28" spans="1:7" ht="13.5" customHeight="1" x14ac:dyDescent="0.25">
      <c r="A28" s="6"/>
      <c r="B28" s="27"/>
      <c r="C28" s="56"/>
      <c r="D28" s="31"/>
      <c r="E28" s="31"/>
      <c r="F28" s="31"/>
      <c r="G28" s="4">
        <v>0</v>
      </c>
    </row>
    <row r="29" spans="1:7" ht="13.5" customHeight="1" x14ac:dyDescent="0.25">
      <c r="A29" s="7" t="s">
        <v>11</v>
      </c>
      <c r="B29" s="27" t="s">
        <v>22</v>
      </c>
      <c r="C29" s="60" t="s">
        <v>34</v>
      </c>
      <c r="D29" s="31">
        <v>0.2638888888888889</v>
      </c>
      <c r="E29" s="31">
        <v>4.1666666666666664E-2</v>
      </c>
      <c r="F29" s="31">
        <v>0.72222222222222221</v>
      </c>
      <c r="G29" s="34">
        <v>10</v>
      </c>
    </row>
    <row r="30" spans="1:7" ht="13.5" customHeight="1" x14ac:dyDescent="0.25">
      <c r="A30" s="10" t="s">
        <v>5</v>
      </c>
      <c r="B30" s="27" t="s">
        <v>23</v>
      </c>
      <c r="C30" s="61"/>
      <c r="D30" s="31">
        <v>0.2638888888888889</v>
      </c>
      <c r="E30" s="31">
        <v>4.1666666666666664E-2</v>
      </c>
      <c r="F30" s="31">
        <v>0.72222222222222221</v>
      </c>
      <c r="G30" s="4">
        <v>10</v>
      </c>
    </row>
    <row r="31" spans="1:7" ht="13.5" customHeight="1" x14ac:dyDescent="0.25">
      <c r="A31" s="21">
        <f>DATE(A6,1,4)-WEEKDAY(DATE(A6,1,4),2)+(A8-1)*7+5</f>
        <v>46108</v>
      </c>
      <c r="B31" s="27" t="s">
        <v>28</v>
      </c>
      <c r="C31" s="55" t="s">
        <v>40</v>
      </c>
      <c r="D31" s="31">
        <v>0.2638888888888889</v>
      </c>
      <c r="E31" s="31">
        <v>4.1666666666666664E-2</v>
      </c>
      <c r="F31" s="31">
        <v>0.66666666666666663</v>
      </c>
      <c r="G31" s="4">
        <v>8</v>
      </c>
    </row>
    <row r="32" spans="1:7" ht="13.5" customHeight="1" x14ac:dyDescent="0.25">
      <c r="A32" s="10"/>
      <c r="B32" s="27" t="s">
        <v>26</v>
      </c>
      <c r="C32" s="55"/>
      <c r="D32" s="31">
        <v>0.3125</v>
      </c>
      <c r="E32" s="35">
        <v>4.1666666666666664E-2</v>
      </c>
      <c r="F32" s="31">
        <v>0.72916666666666663</v>
      </c>
      <c r="G32" s="4">
        <v>9</v>
      </c>
    </row>
    <row r="33" spans="1:10" ht="13.5" customHeight="1" x14ac:dyDescent="0.25">
      <c r="A33" s="6"/>
      <c r="B33" s="27"/>
      <c r="C33" s="56"/>
      <c r="D33" s="31"/>
      <c r="E33" s="31"/>
      <c r="F33" s="31"/>
      <c r="G33" s="4"/>
    </row>
    <row r="34" spans="1:10" ht="13.5" customHeight="1" x14ac:dyDescent="0.25">
      <c r="A34" s="7" t="s">
        <v>13</v>
      </c>
      <c r="B34" s="27" t="s">
        <v>22</v>
      </c>
      <c r="C34" s="51" t="s">
        <v>33</v>
      </c>
      <c r="D34" s="31">
        <v>0.27777777777777779</v>
      </c>
      <c r="E34" s="31">
        <v>4.1666666666666664E-2</v>
      </c>
      <c r="F34" s="31">
        <v>0.73611111111111116</v>
      </c>
      <c r="G34" s="4">
        <v>10</v>
      </c>
    </row>
    <row r="35" spans="1:10" ht="13.5" customHeight="1" x14ac:dyDescent="0.25">
      <c r="A35" s="10" t="s">
        <v>5</v>
      </c>
      <c r="B35" s="27" t="s">
        <v>30</v>
      </c>
      <c r="C35" s="52" t="s">
        <v>38</v>
      </c>
      <c r="D35" s="31">
        <v>0.27777777777777779</v>
      </c>
      <c r="E35" s="31">
        <v>4.1666666666666664E-2</v>
      </c>
      <c r="F35" s="31">
        <v>0.73611111111111116</v>
      </c>
      <c r="G35" s="4">
        <v>10</v>
      </c>
    </row>
    <row r="36" spans="1:10" ht="13.5" customHeight="1" x14ac:dyDescent="0.25">
      <c r="A36" s="21">
        <f>DATE(A6,1,4)-WEEKDAY(DATE(A6,1,4),2)+(A8-1)*7+6</f>
        <v>46109</v>
      </c>
      <c r="B36" s="27" t="s">
        <v>26</v>
      </c>
      <c r="C36" s="53" t="s">
        <v>35</v>
      </c>
      <c r="D36" s="31">
        <v>0.27083333333333331</v>
      </c>
      <c r="E36" s="31">
        <v>4.1666666666666664E-2</v>
      </c>
      <c r="F36" s="31">
        <v>0.72916666666666663</v>
      </c>
      <c r="G36" s="4">
        <v>10</v>
      </c>
    </row>
    <row r="37" spans="1:10" ht="13.5" customHeight="1" x14ac:dyDescent="0.25">
      <c r="A37" s="10"/>
      <c r="B37" s="27" t="s">
        <v>28</v>
      </c>
      <c r="C37" s="53" t="s">
        <v>32</v>
      </c>
      <c r="D37" s="31">
        <v>0.29166666666666669</v>
      </c>
      <c r="E37" s="31">
        <v>4.1666666666666664E-2</v>
      </c>
      <c r="F37" s="31">
        <v>0.70833333333333337</v>
      </c>
      <c r="G37" s="4">
        <v>9</v>
      </c>
    </row>
    <row r="38" spans="1:10" ht="13.5" customHeight="1" x14ac:dyDescent="0.25">
      <c r="A38" s="6"/>
      <c r="B38" s="27" t="s">
        <v>29</v>
      </c>
      <c r="C38" s="54" t="s">
        <v>31</v>
      </c>
      <c r="D38" s="31">
        <v>0.33333333333333331</v>
      </c>
      <c r="E38" s="31">
        <v>2.0833333333333332E-2</v>
      </c>
      <c r="F38" s="31">
        <v>0.66666666666666663</v>
      </c>
      <c r="G38" s="4">
        <v>7.5</v>
      </c>
    </row>
    <row r="39" spans="1:10" ht="13.5" customHeight="1" x14ac:dyDescent="0.25">
      <c r="A39" s="7" t="s">
        <v>12</v>
      </c>
      <c r="B39" s="27" t="s">
        <v>22</v>
      </c>
      <c r="C39" s="57" t="s">
        <v>37</v>
      </c>
      <c r="D39" s="31">
        <v>0.27777777777777779</v>
      </c>
      <c r="E39" s="31">
        <v>4.1666666666666664E-2</v>
      </c>
      <c r="F39" s="31">
        <v>0.73611111111111116</v>
      </c>
      <c r="G39" s="4">
        <v>10</v>
      </c>
    </row>
    <row r="40" spans="1:10" ht="13.5" customHeight="1" x14ac:dyDescent="0.25">
      <c r="A40" s="10" t="s">
        <v>5</v>
      </c>
      <c r="B40" s="27"/>
      <c r="C40" s="58"/>
      <c r="D40" s="31"/>
      <c r="E40" s="31"/>
      <c r="F40" s="31"/>
      <c r="G40" s="4">
        <v>0</v>
      </c>
      <c r="H40" s="1"/>
      <c r="I40" s="1"/>
    </row>
    <row r="41" spans="1:10" ht="13.5" customHeight="1" x14ac:dyDescent="0.25">
      <c r="A41" s="21">
        <f>DATE(A6,1,4)-WEEKDAY(DATE(A6,1,4),2)+(A8-1)*7+7</f>
        <v>46110</v>
      </c>
      <c r="B41" s="27" t="s">
        <v>26</v>
      </c>
      <c r="C41" s="58"/>
      <c r="D41" s="31">
        <v>0.35416666666666669</v>
      </c>
      <c r="E41" s="31">
        <v>0</v>
      </c>
      <c r="F41" s="31">
        <v>0.47916666666666669</v>
      </c>
      <c r="G41" s="4">
        <v>3</v>
      </c>
      <c r="H41" s="1"/>
      <c r="I41" s="1"/>
    </row>
    <row r="42" spans="1:10" ht="13.5" customHeight="1" x14ac:dyDescent="0.25">
      <c r="A42" s="6"/>
      <c r="B42" s="27"/>
      <c r="C42" s="59"/>
      <c r="D42" s="31"/>
      <c r="E42" s="31"/>
      <c r="F42" s="31"/>
      <c r="G42" s="4"/>
    </row>
    <row r="43" spans="1:10" ht="15" customHeight="1" x14ac:dyDescent="0.25">
      <c r="A43" s="49" t="s">
        <v>17</v>
      </c>
      <c r="B43" s="49"/>
      <c r="C43" s="30"/>
      <c r="E43" s="4"/>
      <c r="F43" s="4"/>
      <c r="G43" s="4">
        <f>SUM(G9:G42)</f>
        <v>176.5</v>
      </c>
    </row>
    <row r="44" spans="1:10" x14ac:dyDescent="0.25">
      <c r="A44" s="49" t="s">
        <v>24</v>
      </c>
      <c r="B44" s="49"/>
      <c r="C44" s="40"/>
      <c r="D44" s="41"/>
      <c r="E44" s="41"/>
      <c r="F44" s="41"/>
      <c r="G44" s="42"/>
    </row>
    <row r="45" spans="1:10" ht="13.5" customHeight="1" x14ac:dyDescent="0.25">
      <c r="A45" s="49"/>
      <c r="B45" s="49"/>
      <c r="C45" s="40"/>
      <c r="D45" s="41"/>
      <c r="E45" s="41"/>
      <c r="F45" s="41"/>
      <c r="G45" s="42"/>
      <c r="H45" s="1"/>
      <c r="I45" s="1"/>
    </row>
    <row r="46" spans="1:10" ht="13.5" customHeight="1" x14ac:dyDescent="0.25">
      <c r="A46" s="49"/>
      <c r="B46" s="49"/>
      <c r="C46" s="40"/>
      <c r="D46" s="41"/>
      <c r="E46" s="41"/>
      <c r="F46" s="41"/>
      <c r="G46" s="42"/>
      <c r="H46" s="1"/>
      <c r="J46" s="1"/>
    </row>
    <row r="47" spans="1:10" ht="13.5" customHeight="1" x14ac:dyDescent="0.25">
      <c r="C47" s="1"/>
      <c r="D47" s="1"/>
      <c r="E47" s="1"/>
      <c r="F47" s="1"/>
      <c r="G47" s="1"/>
      <c r="H47" s="1"/>
    </row>
    <row r="48" spans="1:10" ht="13.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9" ht="13.5" customHeight="1" x14ac:dyDescent="0.25">
      <c r="A49" s="1" t="s">
        <v>25</v>
      </c>
      <c r="B49" s="1"/>
      <c r="C49" s="1"/>
      <c r="D49" s="1" t="s">
        <v>6</v>
      </c>
      <c r="F49" s="1"/>
      <c r="G49" s="1"/>
      <c r="I49" s="1"/>
    </row>
    <row r="50" spans="1:9" ht="13.5" customHeight="1" x14ac:dyDescent="0.25">
      <c r="A50" s="25"/>
      <c r="B50" s="1"/>
      <c r="C50" s="1"/>
      <c r="D50" s="1"/>
      <c r="E50" s="1"/>
      <c r="F50" s="1"/>
      <c r="G50" s="1"/>
    </row>
    <row r="51" spans="1:9" ht="18" customHeight="1" x14ac:dyDescent="0.35">
      <c r="A51" s="26"/>
      <c r="B51" s="11"/>
      <c r="D51" s="11"/>
      <c r="E51" s="11"/>
      <c r="F51" s="11"/>
      <c r="G51" s="11"/>
    </row>
  </sheetData>
  <mergeCells count="17">
    <mergeCell ref="C14:C18"/>
    <mergeCell ref="C24:C25"/>
    <mergeCell ref="C29:C30"/>
    <mergeCell ref="A46:B46"/>
    <mergeCell ref="A44:B44"/>
    <mergeCell ref="A45:B45"/>
    <mergeCell ref="A43:B43"/>
    <mergeCell ref="C39:C42"/>
    <mergeCell ref="D7:D8"/>
    <mergeCell ref="C44:G44"/>
    <mergeCell ref="C45:G45"/>
    <mergeCell ref="C46:G46"/>
    <mergeCell ref="F7:F8"/>
    <mergeCell ref="E7:E8"/>
    <mergeCell ref="C9:C13"/>
    <mergeCell ref="C19:C21"/>
    <mergeCell ref="C22:C23"/>
  </mergeCells>
  <pageMargins left="0.59055118110236227" right="0.59055118110236227" top="0.59055118110236227" bottom="0.59055118110236227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2015</vt:lpstr>
      <vt:lpstr>Resturlaub</vt:lpstr>
      <vt:lpstr>Urlaub</vt:lpstr>
    </vt:vector>
  </TitlesOfParts>
  <Company>Schwarzwaldmilch Gruppe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Vögtle Tobias</dc:creator>
  <cp:lastModifiedBy>Klaus</cp:lastModifiedBy>
  <cp:lastPrinted>2026-01-13T07:52:41Z</cp:lastPrinted>
  <dcterms:created xsi:type="dcterms:W3CDTF">2014-09-17T12:44:38Z</dcterms:created>
  <dcterms:modified xsi:type="dcterms:W3CDTF">2026-03-30T22:17:46Z</dcterms:modified>
</cp:coreProperties>
</file>